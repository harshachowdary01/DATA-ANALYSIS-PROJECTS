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OneDrive\Desktop\"/>
    </mc:Choice>
  </mc:AlternateContent>
  <xr:revisionPtr revIDLastSave="0" documentId="13_ncr:1_{1D2125CE-6232-4825-8B9B-6CFDB29F1EFB}" xr6:coauthVersionLast="47" xr6:coauthVersionMax="47" xr10:uidLastSave="{00000000-0000-0000-0000-000000000000}"/>
  <bookViews>
    <workbookView xWindow="-108" yWindow="-108" windowWidth="23256" windowHeight="12456" xr2:uid="{044AC396-7463-4039-831E-49865BD67123}"/>
  </bookViews>
  <sheets>
    <sheet name="Sheet1" sheetId="1" r:id="rId1"/>
  </sheets>
  <definedNames>
    <definedName name="_xlnm._FilterDatabase" localSheetId="0" hidden="1">Sheet1!$A$1:$A$51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 a="1"/>
  <c r="L3" i="1" s="1"/>
  <c r="L2" i="1" a="1"/>
  <c r="L2" i="1"/>
  <c r="L4" i="1" a="1"/>
  <c r="L4" i="1"/>
  <c r="L5" i="1" a="1"/>
  <c r="L5" i="1"/>
  <c r="L6" i="1" a="1"/>
  <c r="L6" i="1" s="1"/>
  <c r="L7" i="1" a="1"/>
  <c r="L7" i="1" s="1"/>
  <c r="L8" i="1" a="1"/>
  <c r="L8" i="1"/>
  <c r="L9" i="1" a="1"/>
  <c r="L9" i="1"/>
  <c r="L10" i="1" a="1"/>
  <c r="L10" i="1"/>
  <c r="L11" i="1" a="1"/>
  <c r="L11" i="1"/>
  <c r="L12" i="1" a="1"/>
  <c r="L12" i="1"/>
  <c r="L13" i="1" a="1"/>
  <c r="L13" i="1"/>
  <c r="L14" i="1" a="1"/>
  <c r="L14" i="1" s="1"/>
  <c r="L15" i="1" a="1"/>
  <c r="L15" i="1"/>
  <c r="L16" i="1" a="1"/>
  <c r="L16" i="1"/>
  <c r="L17" i="1" a="1"/>
  <c r="L17" i="1"/>
  <c r="L18" i="1" a="1"/>
  <c r="L18" i="1"/>
  <c r="L19" i="1" a="1"/>
  <c r="L19" i="1"/>
  <c r="L20" i="1" a="1"/>
  <c r="L20" i="1" s="1"/>
  <c r="L21" i="1" a="1"/>
  <c r="L21" i="1"/>
  <c r="L22" i="1" a="1"/>
  <c r="L22" i="1"/>
  <c r="L23" i="1" a="1"/>
  <c r="L23" i="1"/>
  <c r="L24" i="1" a="1"/>
  <c r="L24" i="1"/>
  <c r="L25" i="1" a="1"/>
  <c r="L25" i="1"/>
  <c r="L26" i="1" a="1"/>
  <c r="L26" i="1"/>
  <c r="L27" i="1" a="1"/>
  <c r="L27" i="1" s="1"/>
  <c r="L28" i="1" a="1"/>
  <c r="L28" i="1" s="1"/>
  <c r="L29" i="1" a="1"/>
  <c r="L29" i="1" s="1"/>
  <c r="L30" i="1" a="1"/>
  <c r="L30" i="1" s="1"/>
  <c r="L31" i="1" a="1"/>
  <c r="L31" i="1" s="1"/>
  <c r="L32" i="1" a="1"/>
  <c r="L32" i="1" s="1"/>
  <c r="L33" i="1" a="1"/>
  <c r="L33" i="1" s="1"/>
  <c r="L34" i="1" a="1"/>
  <c r="L34" i="1" s="1"/>
  <c r="L35" i="1" a="1"/>
  <c r="L35" i="1" s="1"/>
  <c r="L36" i="1" a="1"/>
  <c r="L36" i="1" s="1"/>
  <c r="L37" i="1" a="1"/>
  <c r="L37" i="1" s="1"/>
  <c r="L38" i="1" a="1"/>
  <c r="L38" i="1" s="1"/>
  <c r="L39" i="1" a="1"/>
  <c r="L39" i="1" s="1"/>
  <c r="L40" i="1" a="1"/>
  <c r="L40" i="1" s="1"/>
  <c r="L41" i="1" a="1"/>
  <c r="L41" i="1" s="1"/>
  <c r="L42" i="1" a="1"/>
  <c r="L42" i="1" s="1"/>
  <c r="L43" i="1" a="1"/>
  <c r="L43" i="1" s="1"/>
  <c r="L44" i="1" a="1"/>
  <c r="L44" i="1" s="1"/>
  <c r="L45" i="1" a="1"/>
  <c r="L45" i="1" s="1"/>
  <c r="L46" i="1" a="1"/>
  <c r="L46" i="1" s="1"/>
  <c r="L47" i="1" a="1"/>
  <c r="L47" i="1" s="1"/>
  <c r="L48" i="1" a="1"/>
  <c r="L48" i="1" s="1"/>
  <c r="L49" i="1" a="1"/>
  <c r="L49" i="1" s="1"/>
  <c r="L50" i="1" a="1"/>
  <c r="L50" i="1" s="1"/>
  <c r="L51" i="1" a="1"/>
  <c r="L51" i="1" s="1"/>
  <c r="K2" i="1" a="1"/>
  <c r="K2" i="1" s="1"/>
  <c r="K3" i="1" a="1"/>
  <c r="K3" i="1" s="1"/>
  <c r="K4" i="1" a="1"/>
  <c r="K4" i="1" s="1"/>
  <c r="K5" i="1" a="1"/>
  <c r="K5" i="1" s="1"/>
  <c r="K6" i="1" a="1"/>
  <c r="K6" i="1" s="1"/>
  <c r="K7" i="1" a="1"/>
  <c r="K7" i="1" s="1"/>
  <c r="K8" i="1" a="1"/>
  <c r="K8" i="1" s="1"/>
  <c r="K9" i="1" a="1"/>
  <c r="K9" i="1" s="1"/>
  <c r="K10" i="1" a="1"/>
  <c r="K10" i="1" s="1"/>
  <c r="K11" i="1" a="1"/>
  <c r="K11" i="1" s="1"/>
  <c r="K12" i="1" a="1"/>
  <c r="K12" i="1" s="1"/>
  <c r="K13" i="1" a="1"/>
  <c r="K13" i="1" s="1"/>
  <c r="K14" i="1" a="1"/>
  <c r="K14" i="1" s="1"/>
  <c r="K15" i="1" a="1"/>
  <c r="K15" i="1" s="1"/>
  <c r="K16" i="1" a="1"/>
  <c r="K16" i="1" s="1"/>
  <c r="K17" i="1" a="1"/>
  <c r="K17" i="1" s="1"/>
  <c r="K18" i="1" a="1"/>
  <c r="K18" i="1" s="1"/>
  <c r="K19" i="1" a="1"/>
  <c r="K19" i="1" s="1"/>
  <c r="K20" i="1" a="1"/>
  <c r="K20" i="1" s="1"/>
  <c r="K21" i="1" a="1"/>
  <c r="K21" i="1" s="1"/>
  <c r="K22" i="1" a="1"/>
  <c r="K22" i="1" s="1"/>
  <c r="K23" i="1" a="1"/>
  <c r="K23" i="1" s="1"/>
  <c r="K24" i="1" a="1"/>
  <c r="K24" i="1" s="1"/>
  <c r="K25" i="1" a="1"/>
  <c r="K25" i="1" s="1"/>
  <c r="K26" i="1" a="1"/>
  <c r="K26" i="1" s="1"/>
  <c r="K27" i="1" a="1"/>
  <c r="K27" i="1" s="1"/>
  <c r="K28" i="1" a="1"/>
  <c r="K28" i="1" s="1"/>
  <c r="K29" i="1" a="1"/>
  <c r="K29" i="1" s="1"/>
  <c r="K30" i="1" a="1"/>
  <c r="K30" i="1" s="1"/>
  <c r="K31" i="1" a="1"/>
  <c r="K31" i="1" s="1"/>
  <c r="K32" i="1" a="1"/>
  <c r="K32" i="1" s="1"/>
  <c r="K33" i="1" a="1"/>
  <c r="K33" i="1" s="1"/>
  <c r="K34" i="1" a="1"/>
  <c r="K34" i="1" s="1"/>
  <c r="K35" i="1" a="1"/>
  <c r="K35" i="1" s="1"/>
  <c r="K36" i="1" a="1"/>
  <c r="K36" i="1" s="1"/>
  <c r="K37" i="1" a="1"/>
  <c r="K37" i="1" s="1"/>
  <c r="K38" i="1" a="1"/>
  <c r="K38" i="1" s="1"/>
  <c r="K39" i="1" a="1"/>
  <c r="K39" i="1" s="1"/>
  <c r="K40" i="1" a="1"/>
  <c r="K40" i="1" s="1"/>
  <c r="K41" i="1" a="1"/>
  <c r="K41" i="1" s="1"/>
  <c r="K42" i="1" a="1"/>
  <c r="K42" i="1" s="1"/>
  <c r="K43" i="1" a="1"/>
  <c r="K43" i="1" s="1"/>
  <c r="K44" i="1" a="1"/>
  <c r="K44" i="1" s="1"/>
  <c r="K45" i="1" a="1"/>
  <c r="K45" i="1" s="1"/>
  <c r="K46" i="1" a="1"/>
  <c r="K46" i="1" s="1"/>
  <c r="K47" i="1" a="1"/>
  <c r="K47" i="1" s="1"/>
  <c r="K48" i="1" a="1"/>
  <c r="K48" i="1" s="1"/>
  <c r="K49" i="1" a="1"/>
  <c r="K49" i="1" s="1"/>
  <c r="K50" i="1" a="1"/>
  <c r="K50" i="1" s="1"/>
  <c r="K51" i="1" a="1"/>
  <c r="K51" i="1" s="1"/>
  <c r="A2" i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<sst xmlns="http://schemas.openxmlformats.org/spreadsheetml/2006/main" count="262" uniqueCount="166">
  <si>
    <t>Mobile Brand</t>
  </si>
  <si>
    <t>Processor</t>
  </si>
  <si>
    <t>Camera Sensor</t>
  </si>
  <si>
    <t>Price (INR)</t>
  </si>
  <si>
    <t>AI Features</t>
  </si>
  <si>
    <t>Apple</t>
  </si>
  <si>
    <t>iPhone 12</t>
  </si>
  <si>
    <t>A14 Bionic</t>
  </si>
  <si>
    <t>12MP Dual</t>
  </si>
  <si>
    <t>Basic Siri</t>
  </si>
  <si>
    <t>iPhone 13 Pro</t>
  </si>
  <si>
    <t>A15 Bionic</t>
  </si>
  <si>
    <t>12MP Triple</t>
  </si>
  <si>
    <t>Standard AI</t>
  </si>
  <si>
    <t>iPhone 14 Plus</t>
  </si>
  <si>
    <t>Photonic Engine</t>
  </si>
  <si>
    <t>iPhone 15 Pro Max</t>
  </si>
  <si>
    <t>A17 Pro</t>
  </si>
  <si>
    <t>48MP Triple</t>
  </si>
  <si>
    <t>Pro AI Processing</t>
  </si>
  <si>
    <t>iPhone 16 Pro</t>
  </si>
  <si>
    <t>A18 Pro</t>
  </si>
  <si>
    <t>Apple Intelligence</t>
  </si>
  <si>
    <t>iPhone 17</t>
  </si>
  <si>
    <t>A19 Bionic</t>
  </si>
  <si>
    <t>48MP Dual</t>
  </si>
  <si>
    <t>Apple Intelligence+</t>
  </si>
  <si>
    <t>iPhone 17 Pro</t>
  </si>
  <si>
    <t>A19 Pro</t>
  </si>
  <si>
    <t>Samsung</t>
  </si>
  <si>
    <t>Galaxy S20</t>
  </si>
  <si>
    <t>Exynos 990</t>
  </si>
  <si>
    <t>64MP Triple</t>
  </si>
  <si>
    <t>Bixby Vision</t>
  </si>
  <si>
    <t>Galaxy S21 Ultra</t>
  </si>
  <si>
    <t>Snapdragon 888</t>
  </si>
  <si>
    <t>108MP Quad</t>
  </si>
  <si>
    <t>AI Camera Pro</t>
  </si>
  <si>
    <t>Galaxy S22</t>
  </si>
  <si>
    <t>Snapdragon 8 Gen 1</t>
  </si>
  <si>
    <t>50MP Triple</t>
  </si>
  <si>
    <t>Nightography AI</t>
  </si>
  <si>
    <t>Galaxy S23 Ultra</t>
  </si>
  <si>
    <t>Snapdragon 8 Gen 2</t>
  </si>
  <si>
    <t>200MP Quad</t>
  </si>
  <si>
    <t>Advanced Nightography</t>
  </si>
  <si>
    <t>Galaxy S24 Ultra</t>
  </si>
  <si>
    <t>Snapdragon 8 Gen 3</t>
  </si>
  <si>
    <t>Galaxy AI</t>
  </si>
  <si>
    <t>Galaxy S25 Plus</t>
  </si>
  <si>
    <t>Snapdragon 8 Gen 4</t>
  </si>
  <si>
    <t>Galaxy AI 2.0</t>
  </si>
  <si>
    <t>Galaxy S26 Ultra</t>
  </si>
  <si>
    <t>Snapdragon 8 Gen 5</t>
  </si>
  <si>
    <t>Galaxy AI Pro</t>
  </si>
  <si>
    <t>iQOO</t>
  </si>
  <si>
    <t>iQOO 7</t>
  </si>
  <si>
    <t>Snapdragon 870</t>
  </si>
  <si>
    <t>iQOO 9 Pro</t>
  </si>
  <si>
    <t>Game Frame AI</t>
  </si>
  <si>
    <t>iQOO 11</t>
  </si>
  <si>
    <t>V2 AI Chip</t>
  </si>
  <si>
    <t>iQOO 12</t>
  </si>
  <si>
    <t>Supercomputing Chip Q1</t>
  </si>
  <si>
    <t>iQOO Neo 9 Pro</t>
  </si>
  <si>
    <t>50MP Dual</t>
  </si>
  <si>
    <t>AI Gaming Mode</t>
  </si>
  <si>
    <t>iQOO Neo 10</t>
  </si>
  <si>
    <t>AI Vision Pro</t>
  </si>
  <si>
    <t>Xiaomi</t>
  </si>
  <si>
    <t>Redmi Note 10 Pro</t>
  </si>
  <si>
    <t>Snapdragon 732G</t>
  </si>
  <si>
    <t>64MP Quad</t>
  </si>
  <si>
    <t>Basic AI Camera</t>
  </si>
  <si>
    <t>Redmi Note 11 Pro+</t>
  </si>
  <si>
    <t>Snapdragon 695</t>
  </si>
  <si>
    <t>108MP Triple</t>
  </si>
  <si>
    <t>Redmi Note 12 Pro</t>
  </si>
  <si>
    <t>Dimensity 1080</t>
  </si>
  <si>
    <t>AI Image Enhancement</t>
  </si>
  <si>
    <t>Redmi Note 13 Pro+</t>
  </si>
  <si>
    <t>Dimensity 7200 Ultra</t>
  </si>
  <si>
    <t>200MP Triple</t>
  </si>
  <si>
    <t>Xiaomi AI Engine</t>
  </si>
  <si>
    <t>Redmi Note 14 Pro</t>
  </si>
  <si>
    <t>Snapdragon 7 Gen 3</t>
  </si>
  <si>
    <t>Advanced AI Camera</t>
  </si>
  <si>
    <t>Redmi Note 15 Pro+</t>
  </si>
  <si>
    <t>Dimensity 8300 Ultra</t>
  </si>
  <si>
    <t>HyperOS AI</t>
  </si>
  <si>
    <t>Xiaomi 14</t>
  </si>
  <si>
    <t>Leica AI Imaging</t>
  </si>
  <si>
    <t>Google</t>
  </si>
  <si>
    <t>Pixel 5</t>
  </si>
  <si>
    <t>Snapdragon 765G</t>
  </si>
  <si>
    <t>Google Assistant</t>
  </si>
  <si>
    <t>Pixel 6</t>
  </si>
  <si>
    <t>Google Tensor G1</t>
  </si>
  <si>
    <t>Magic Eraser</t>
  </si>
  <si>
    <t>Pixel 7 Pro</t>
  </si>
  <si>
    <t>Google Tensor G2</t>
  </si>
  <si>
    <t>Photo Unblur AI</t>
  </si>
  <si>
    <t>Pixel 8</t>
  </si>
  <si>
    <t>Google Tensor G3</t>
  </si>
  <si>
    <t>Audio Magic Eraser</t>
  </si>
  <si>
    <t>Pixel 9 Pro</t>
  </si>
  <si>
    <t>Google Tensor G4</t>
  </si>
  <si>
    <t>Gemini Nano Built-in</t>
  </si>
  <si>
    <t>Pixel 10</t>
  </si>
  <si>
    <t>Google Tensor G5</t>
  </si>
  <si>
    <t>Gemini Advanced Core</t>
  </si>
  <si>
    <t>OnePlus</t>
  </si>
  <si>
    <t>OnePlus 8T</t>
  </si>
  <si>
    <t>Snapdragon 865</t>
  </si>
  <si>
    <t>48MP Quad</t>
  </si>
  <si>
    <t>Basic Scene AI</t>
  </si>
  <si>
    <t>OnePlus 9 Pro</t>
  </si>
  <si>
    <t>Hasselblad AI</t>
  </si>
  <si>
    <t>OnePlus 10 Pro</t>
  </si>
  <si>
    <t>Master Style AI</t>
  </si>
  <si>
    <t>OnePlus 11</t>
  </si>
  <si>
    <t>AI Frame Stabilization</t>
  </si>
  <si>
    <t>OnePlus 12</t>
  </si>
  <si>
    <t>Trinity Engine AI</t>
  </si>
  <si>
    <t>OnePlus 13</t>
  </si>
  <si>
    <t>Advanced Trinity Engine</t>
  </si>
  <si>
    <t>OnePlus 14</t>
  </si>
  <si>
    <t>OxyOS AI Assistant</t>
  </si>
  <si>
    <t>Vivo</t>
  </si>
  <si>
    <t>X70 Pro</t>
  </si>
  <si>
    <t>Dimensity 1200</t>
  </si>
  <si>
    <t>50MP Quad</t>
  </si>
  <si>
    <t>Zeiss AI Imaging</t>
  </si>
  <si>
    <t>X80 Pro</t>
  </si>
  <si>
    <t>V1+ AI Chip</t>
  </si>
  <si>
    <t>X90 Pro</t>
  </si>
  <si>
    <t>Dimensity 9200</t>
  </si>
  <si>
    <t>V2 AI ISP</t>
  </si>
  <si>
    <t>X100 Pro</t>
  </si>
  <si>
    <t>Dimensity 9300</t>
  </si>
  <si>
    <t>V3 AI ISP</t>
  </si>
  <si>
    <t>X110 Pro</t>
  </si>
  <si>
    <t>Dimensity 9400</t>
  </si>
  <si>
    <t>V4 AI ISP</t>
  </si>
  <si>
    <t>Oppo</t>
  </si>
  <si>
    <t>Reno 6 Pro</t>
  </si>
  <si>
    <t>AI Highlight Video</t>
  </si>
  <si>
    <t>Reno 8 Pro</t>
  </si>
  <si>
    <t>Dimensity 8100-Max</t>
  </si>
  <si>
    <t>MariSilicon X NPU</t>
  </si>
  <si>
    <t>Find N2 Flip</t>
  </si>
  <si>
    <t>Dimensity 9000+</t>
  </si>
  <si>
    <t>FlexForm AI</t>
  </si>
  <si>
    <t>Find X7 Ultra</t>
  </si>
  <si>
    <t>HyperTone AI Camera</t>
  </si>
  <si>
    <t>Realme</t>
  </si>
  <si>
    <t>GT 2 Pro</t>
  </si>
  <si>
    <t>AI Scene Enhancement</t>
  </si>
  <si>
    <t>S.No</t>
  </si>
  <si>
    <t>Model</t>
  </si>
  <si>
    <t>Battery (Mah)</t>
  </si>
  <si>
    <t>Released Date</t>
  </si>
  <si>
    <t>Quantity Sold</t>
  </si>
  <si>
    <t>Advanced Apple AI</t>
  </si>
  <si>
    <t>Mobile Type</t>
  </si>
  <si>
    <t>Rate of Qty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</si>
</sst>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14" fontId="2" fillId="0" borderId="8" xfId="0" applyNumberFormat="1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14" fontId="2" fillId="0" borderId="1" xfId="0" applyNumberFormat="1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m/d/yyyy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55F7EAC-30DD-4193-8E94-28CBB0EE03FE}" name="Table3" displayName="Table3" ref="B1:L51" totalsRowShown="0" headerRowDxfId="15" dataDxfId="13" headerRowBorderDxfId="14" tableBorderDxfId="12" totalsRowBorderDxfId="11">
  <autoFilter ref="B1:L51" xr:uid="{E55F7EAC-30DD-4193-8E94-28CBB0EE03FE}"/>
  <tableColumns count="11">
    <tableColumn id="1" xr3:uid="{3E832361-3A8E-492F-B0B5-DEEFF386A2CC}" name="Mobile Brand" dataDxfId="10"/>
    <tableColumn id="2" xr3:uid="{754787CD-63C4-46A5-934E-3F9177CA93BC}" name="Model" dataDxfId="9"/>
    <tableColumn id="3" xr3:uid="{9E99801D-CFCE-49A5-8FBC-D94D4971EF2D}" name="Processor" dataDxfId="8"/>
    <tableColumn id="4" xr3:uid="{558C0945-FE00-49A3-ACBA-31248560F34B}" name="Camera Sensor" dataDxfId="7"/>
    <tableColumn id="5" xr3:uid="{45E5A4C9-5E92-4D6D-8091-78C05F36A48E}" name="Battery (Mah)" dataDxfId="6"/>
    <tableColumn id="6" xr3:uid="{51F9CB81-A66B-41E2-B53A-934C97918ED1}" name="Price (INR)" dataDxfId="5"/>
    <tableColumn id="7" xr3:uid="{5E7BC411-8B02-4829-9E01-B9FE084D8D86}" name="AI Features" dataDxfId="4"/>
    <tableColumn id="8" xr3:uid="{64BA8E4B-02E4-464D-8C7C-BED52C1D3EE4}" name="Released Date" dataDxfId="3"/>
    <tableColumn id="9" xr3:uid="{9D1BDCDA-8908-4782-ACB9-21EE80968B50}" name="Quantity Sold" dataDxfId="2"/>
    <tableColumn id="10" xr3:uid="{A90A00EB-34D4-4939-B38F-CA00CBE9D5B3}" name="Mobile Type" dataDxfId="1">
      <calculatedColumnFormula array="1">_xlfn.IFS(Table3[[#This Row],[Price (INR)]]&lt;=35000,"Low end Mobile",Table3[[#This Row],[Price (INR)]]&gt;35000 =AND(Table3[[#This Row],[Price (INR)]]&lt;=65000),"Medium end Mobile",Table3[[#This Row],[Price (INR)]]&gt;65000,"High end Mobile")</calculatedColumnFormula>
    </tableColumn>
    <tableColumn id="13" xr3:uid="{E1E17A77-258F-45DF-B27D-E178DAE4C949}" name="Rate of Qty Sold" dataDxfId="0">
      <calculatedColumnFormula array="1">_xlfn.IFS(Table3[[#This Row],[Quantity Sold]]&lt;=500000, "Less Qty Sold", AND(Table3[[#This Row],[Quantity Sold]]&gt;500000, Table3[[#This Row],[Quantity Sold]]&lt;=1000000), "Medium Qty Sold", Table3[[#This Row],[Quantity Sold]]&gt;1000000, "High Qty Sold")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EDC98-EA4D-4442-8116-F20419E4AB04}">
  <dimension ref="A1:L51"/>
  <sheetViews>
    <sheetView tabSelected="1" workbookViewId="0">
      <selection activeCell="M2" sqref="M2"/>
    </sheetView>
  </sheetViews>
  <sheetFormatPr defaultRowHeight="14.4" x14ac:dyDescent="0.3"/>
  <cols>
    <col min="1" max="1" width="4.88671875" bestFit="1" customWidth="1"/>
    <col min="2" max="2" width="14.21875" customWidth="1"/>
    <col min="3" max="3" width="26.109375" customWidth="1"/>
    <col min="4" max="4" width="22.109375" customWidth="1"/>
    <col min="5" max="5" width="15.44140625" customWidth="1"/>
    <col min="6" max="6" width="14.6640625" customWidth="1"/>
    <col min="7" max="7" width="11.77734375" customWidth="1"/>
    <col min="8" max="8" width="22.77734375" customWidth="1"/>
    <col min="9" max="9" width="14.6640625" customWidth="1"/>
    <col min="10" max="10" width="14.33203125" customWidth="1"/>
    <col min="11" max="11" width="16.77734375" bestFit="1" customWidth="1"/>
    <col min="12" max="12" width="15.109375" customWidth="1"/>
  </cols>
  <sheetData>
    <row r="1" spans="1:12" x14ac:dyDescent="0.3">
      <c r="A1" s="12" t="s">
        <v>158</v>
      </c>
      <c r="B1" s="7" t="s">
        <v>0</v>
      </c>
      <c r="C1" s="8" t="s">
        <v>159</v>
      </c>
      <c r="D1" s="8" t="s">
        <v>1</v>
      </c>
      <c r="E1" s="8" t="s">
        <v>2</v>
      </c>
      <c r="F1" s="8" t="s">
        <v>160</v>
      </c>
      <c r="G1" s="8" t="s">
        <v>3</v>
      </c>
      <c r="H1" s="8" t="s">
        <v>4</v>
      </c>
      <c r="I1" s="8" t="s">
        <v>161</v>
      </c>
      <c r="J1" s="9" t="s">
        <v>162</v>
      </c>
      <c r="K1" s="8" t="s">
        <v>164</v>
      </c>
      <c r="L1" s="8" t="s">
        <v>165</v>
      </c>
    </row>
    <row r="2" spans="1:12" x14ac:dyDescent="0.3">
      <c r="A2" s="13" cm="1">
        <f t="array" ref="A2:A51">_xlfn.SEQUENCE(50,1,1,1)</f>
        <v>1</v>
      </c>
      <c r="B2" s="10" t="s">
        <v>5</v>
      </c>
      <c r="C2" s="1" t="s">
        <v>6</v>
      </c>
      <c r="D2" s="1" t="s">
        <v>7</v>
      </c>
      <c r="E2" s="1" t="s">
        <v>8</v>
      </c>
      <c r="F2" s="1">
        <v>2815</v>
      </c>
      <c r="G2" s="1">
        <v>65000</v>
      </c>
      <c r="H2" s="1" t="s">
        <v>9</v>
      </c>
      <c r="I2" s="2">
        <v>44127</v>
      </c>
      <c r="J2" s="3">
        <v>1033912</v>
      </c>
      <c r="K2" s="14" t="str" cm="1">
        <f t="array" ref="K2">_xlfn.IFS(Table3[[#This Row],[Price (INR)]]&lt;=35000,"Low end Mobile",Table3[[#This Row],[Price (INR)]]&gt;35000 =AND(Table3[[#This Row],[Price (INR)]]&lt;=65000),"Medium end Mobile",Table3[[#This Row],[Price (INR)]]&gt;65000,"High end Mobile")</f>
        <v>Medium end Mobile</v>
      </c>
      <c r="L2" s="16" t="str" cm="1">
        <f t="array" ref="L2">_xlfn.IFS(Table3[[#This Row],[Quantity Sold]]&lt;=500000, "Less Qty Sold", AND(Table3[[#This Row],[Quantity Sold]]&gt;500000, Table3[[#This Row],[Quantity Sold]]&lt;=1000000), "Medium Qty Sold", Table3[[#This Row],[Quantity Sold]]&gt;1000000, "High Qty Sold")</f>
        <v>High Qty Sold</v>
      </c>
    </row>
    <row r="3" spans="1:12" x14ac:dyDescent="0.3">
      <c r="A3" s="1">
        <v>2</v>
      </c>
      <c r="B3" s="10" t="s">
        <v>5</v>
      </c>
      <c r="C3" s="1" t="s">
        <v>10</v>
      </c>
      <c r="D3" s="1" t="s">
        <v>11</v>
      </c>
      <c r="E3" s="1" t="s">
        <v>12</v>
      </c>
      <c r="F3" s="1">
        <v>3095</v>
      </c>
      <c r="G3" s="1">
        <v>119900</v>
      </c>
      <c r="H3" s="1" t="s">
        <v>13</v>
      </c>
      <c r="I3" s="2">
        <v>44463</v>
      </c>
      <c r="J3" s="3">
        <v>309805</v>
      </c>
      <c r="K3" s="1" t="str" cm="1">
        <f t="array" ref="K3">_xlfn.IFS(Table3[[#This Row],[Price (INR)]]&lt;=35000,"Low end Mobile",Table3[[#This Row],[Price (INR)]]&gt;35000 =AND(Table3[[#This Row],[Price (INR)]]&lt;=65000),"Medium end Mobile",Table3[[#This Row],[Price (INR)]]&gt;65000,"High end Mobile")</f>
        <v>High end Mobile</v>
      </c>
      <c r="L3" s="16" t="str" cm="1">
        <f t="array" ref="L3">_xlfn.IFS(Table3[[#This Row],[Quantity Sold]]&lt;=500000, "Less Qty Sold", AND(Table3[[#This Row],[Quantity Sold]]&gt;500000, Table3[[#This Row],[Quantity Sold]]&lt;=1000000), "Medium Qty Sold", Table3[[#This Row],[Quantity Sold]]&gt;1000000, "High Qty Sold")</f>
        <v>Less Qty Sold</v>
      </c>
    </row>
    <row r="4" spans="1:12" s="22" customFormat="1" x14ac:dyDescent="0.3">
      <c r="A4" s="18">
        <v>3</v>
      </c>
      <c r="B4" s="19" t="s">
        <v>5</v>
      </c>
      <c r="C4" s="15" t="s">
        <v>14</v>
      </c>
      <c r="D4" s="15" t="s">
        <v>11</v>
      </c>
      <c r="E4" s="15" t="s">
        <v>8</v>
      </c>
      <c r="F4" s="15">
        <v>4325</v>
      </c>
      <c r="G4" s="15">
        <v>89900</v>
      </c>
      <c r="H4" s="15" t="s">
        <v>15</v>
      </c>
      <c r="I4" s="20">
        <v>44841</v>
      </c>
      <c r="J4" s="21">
        <v>2407113</v>
      </c>
      <c r="K4" s="15" t="str" cm="1">
        <f t="array" ref="K4">_xlfn.IFS(Table3[[#This Row],[Price (INR)]]&lt;=35000,"Low end Mobile",Table3[[#This Row],[Price (INR)]]&gt;35000 =AND(Table3[[#This Row],[Price (INR)]]&lt;=65000),"Medium end Mobile",Table3[[#This Row],[Price (INR)]]&gt;65000,"High end Mobile")</f>
        <v>High end Mobile</v>
      </c>
      <c r="L4" s="17" t="str" cm="1">
        <f t="array" ref="L4">_xlfn.IFS(Table3[[#This Row],[Quantity Sold]]&lt;=500000, "Less Qty Sold", AND(Table3[[#This Row],[Quantity Sold]]&gt;500000, Table3[[#This Row],[Quantity Sold]]&lt;=1000000), "Medium Qty Sold", Table3[[#This Row],[Quantity Sold]]&gt;1000000, "High Qty Sold")</f>
        <v>High Qty Sold</v>
      </c>
    </row>
    <row r="5" spans="1:12" x14ac:dyDescent="0.3">
      <c r="A5" s="1">
        <v>4</v>
      </c>
      <c r="B5" s="10" t="s">
        <v>5</v>
      </c>
      <c r="C5" s="1" t="s">
        <v>16</v>
      </c>
      <c r="D5" s="1" t="s">
        <v>17</v>
      </c>
      <c r="E5" s="1" t="s">
        <v>18</v>
      </c>
      <c r="F5" s="1">
        <v>4422</v>
      </c>
      <c r="G5" s="1">
        <v>159900</v>
      </c>
      <c r="H5" s="1" t="s">
        <v>19</v>
      </c>
      <c r="I5" s="2">
        <v>45191</v>
      </c>
      <c r="J5" s="3">
        <v>2154301</v>
      </c>
      <c r="K5" s="1" t="str" cm="1">
        <f t="array" ref="K5">_xlfn.IFS(Table3[[#This Row],[Price (INR)]]&lt;=35000,"Low end Mobile",Table3[[#This Row],[Price (INR)]]&gt;35000 =AND(Table3[[#This Row],[Price (INR)]]&lt;=65000),"Medium end Mobile",Table3[[#This Row],[Price (INR)]]&gt;65000,"High end Mobile")</f>
        <v>High end Mobile</v>
      </c>
      <c r="L5" s="16" t="str" cm="1">
        <f t="array" ref="L5">_xlfn.IFS(Table3[[#This Row],[Quantity Sold]]&lt;=500000, "Less Qty Sold", AND(Table3[[#This Row],[Quantity Sold]]&gt;500000, Table3[[#This Row],[Quantity Sold]]&lt;=1000000), "Medium Qty Sold", Table3[[#This Row],[Quantity Sold]]&gt;1000000, "High Qty Sold")</f>
        <v>High Qty Sold</v>
      </c>
    </row>
    <row r="6" spans="1:12" x14ac:dyDescent="0.3">
      <c r="A6" s="13">
        <v>5</v>
      </c>
      <c r="B6" s="10" t="s">
        <v>5</v>
      </c>
      <c r="C6" s="1" t="s">
        <v>20</v>
      </c>
      <c r="D6" s="1" t="s">
        <v>21</v>
      </c>
      <c r="E6" s="1" t="s">
        <v>18</v>
      </c>
      <c r="F6" s="1">
        <v>3355</v>
      </c>
      <c r="G6" s="1">
        <v>134900</v>
      </c>
      <c r="H6" s="1" t="s">
        <v>22</v>
      </c>
      <c r="I6" s="2">
        <v>45555</v>
      </c>
      <c r="J6" s="3">
        <v>1972427</v>
      </c>
      <c r="K6" s="1" t="str" cm="1">
        <f t="array" ref="K6">_xlfn.IFS(Table3[[#This Row],[Price (INR)]]&lt;=35000,"Low end Mobile",Table3[[#This Row],[Price (INR)]]&gt;35000 =AND(Table3[[#This Row],[Price (INR)]]&lt;=65000),"Medium end Mobile",Table3[[#This Row],[Price (INR)]]&gt;65000,"High end Mobile")</f>
        <v>High end Mobile</v>
      </c>
      <c r="L6" s="16" t="str" cm="1">
        <f t="array" ref="L6">_xlfn.IFS(Table3[[#This Row],[Quantity Sold]]&lt;=500000, "Less Qty Sold", AND(Table3[[#This Row],[Quantity Sold]]&gt;500000, Table3[[#This Row],[Quantity Sold]]&lt;=1000000), "Medium Qty Sold", Table3[[#This Row],[Quantity Sold]]&gt;1000000, "High Qty Sold")</f>
        <v>High Qty Sold</v>
      </c>
    </row>
    <row r="7" spans="1:12" x14ac:dyDescent="0.3">
      <c r="A7" s="1">
        <v>6</v>
      </c>
      <c r="B7" s="10" t="s">
        <v>5</v>
      </c>
      <c r="C7" s="1" t="s">
        <v>23</v>
      </c>
      <c r="D7" s="1" t="s">
        <v>24</v>
      </c>
      <c r="E7" s="1" t="s">
        <v>25</v>
      </c>
      <c r="F7" s="1">
        <v>3500</v>
      </c>
      <c r="G7" s="1">
        <v>79900</v>
      </c>
      <c r="H7" s="1" t="s">
        <v>26</v>
      </c>
      <c r="I7" s="2">
        <v>45915</v>
      </c>
      <c r="J7" s="3">
        <v>1270528</v>
      </c>
      <c r="K7" s="1" t="str" cm="1">
        <f t="array" ref="K7">_xlfn.IFS(Table3[[#This Row],[Price (INR)]]&lt;=35000,"Low end Mobile",Table3[[#This Row],[Price (INR)]]&gt;35000 =AND(Table3[[#This Row],[Price (INR)]]&lt;=65000),"Medium end Mobile",Table3[[#This Row],[Price (INR)]]&gt;65000,"High end Mobile")</f>
        <v>High end Mobile</v>
      </c>
      <c r="L7" s="16" t="str" cm="1">
        <f t="array" ref="L7">_xlfn.IFS(Table3[[#This Row],[Quantity Sold]]&lt;=500000, "Less Qty Sold", AND(Table3[[#This Row],[Quantity Sold]]&gt;500000, Table3[[#This Row],[Quantity Sold]]&lt;=1000000), "Medium Qty Sold", Table3[[#This Row],[Quantity Sold]]&gt;1000000, "High Qty Sold")</f>
        <v>High Qty Sold</v>
      </c>
    </row>
    <row r="8" spans="1:12" x14ac:dyDescent="0.3">
      <c r="A8" s="13">
        <v>7</v>
      </c>
      <c r="B8" s="10" t="s">
        <v>5</v>
      </c>
      <c r="C8" s="1" t="s">
        <v>27</v>
      </c>
      <c r="D8" s="1" t="s">
        <v>28</v>
      </c>
      <c r="E8" s="1" t="s">
        <v>18</v>
      </c>
      <c r="F8" s="1">
        <v>4000</v>
      </c>
      <c r="G8" s="1">
        <v>144900</v>
      </c>
      <c r="H8" s="1" t="s">
        <v>163</v>
      </c>
      <c r="I8" s="2">
        <v>45915</v>
      </c>
      <c r="J8" s="3">
        <v>959791</v>
      </c>
      <c r="K8" s="1" t="str" cm="1">
        <f t="array" ref="K8">_xlfn.IFS(Table3[[#This Row],[Price (INR)]]&lt;=35000,"Low end Mobile",Table3[[#This Row],[Price (INR)]]&gt;35000 =AND(Table3[[#This Row],[Price (INR)]]&lt;=65000),"Medium end Mobile",Table3[[#This Row],[Price (INR)]]&gt;65000,"High end Mobile")</f>
        <v>High end Mobile</v>
      </c>
      <c r="L8" s="16" t="str" cm="1">
        <f t="array" ref="L8">_xlfn.IFS(Table3[[#This Row],[Quantity Sold]]&lt;=500000, "Less Qty Sold", AND(Table3[[#This Row],[Quantity Sold]]&gt;500000, Table3[[#This Row],[Quantity Sold]]&lt;=1000000), "Medium Qty Sold", Table3[[#This Row],[Quantity Sold]]&gt;1000000, "High Qty Sold")</f>
        <v>Medium Qty Sold</v>
      </c>
    </row>
    <row r="9" spans="1:12" x14ac:dyDescent="0.3">
      <c r="A9" s="1">
        <v>8</v>
      </c>
      <c r="B9" s="10" t="s">
        <v>29</v>
      </c>
      <c r="C9" s="1" t="s">
        <v>30</v>
      </c>
      <c r="D9" s="1" t="s">
        <v>31</v>
      </c>
      <c r="E9" s="1" t="s">
        <v>32</v>
      </c>
      <c r="F9" s="1">
        <v>4000</v>
      </c>
      <c r="G9" s="1">
        <v>66999</v>
      </c>
      <c r="H9" s="1" t="s">
        <v>33</v>
      </c>
      <c r="I9" s="2">
        <v>43896</v>
      </c>
      <c r="J9" s="3">
        <v>4674866</v>
      </c>
      <c r="K9" s="1" t="str" cm="1">
        <f t="array" ref="K9">_xlfn.IFS(Table3[[#This Row],[Price (INR)]]&lt;=35000,"Low end Mobile",Table3[[#This Row],[Price (INR)]]&gt;35000 =AND(Table3[[#This Row],[Price (INR)]]&lt;=65000),"Medium end Mobile",Table3[[#This Row],[Price (INR)]]&gt;65000,"High end Mobile")</f>
        <v>High end Mobile</v>
      </c>
      <c r="L9" s="16" t="str" cm="1">
        <f t="array" ref="L9">_xlfn.IFS(Table3[[#This Row],[Quantity Sold]]&lt;=500000, "Less Qty Sold", AND(Table3[[#This Row],[Quantity Sold]]&gt;500000, Table3[[#This Row],[Quantity Sold]]&lt;=1000000), "Medium Qty Sold", Table3[[#This Row],[Quantity Sold]]&gt;1000000, "High Qty Sold")</f>
        <v>High Qty Sold</v>
      </c>
    </row>
    <row r="10" spans="1:12" x14ac:dyDescent="0.3">
      <c r="A10" s="13">
        <v>9</v>
      </c>
      <c r="B10" s="10" t="s">
        <v>29</v>
      </c>
      <c r="C10" s="1" t="s">
        <v>34</v>
      </c>
      <c r="D10" s="1" t="s">
        <v>35</v>
      </c>
      <c r="E10" s="1" t="s">
        <v>36</v>
      </c>
      <c r="F10" s="1">
        <v>5000</v>
      </c>
      <c r="G10" s="1">
        <v>105999</v>
      </c>
      <c r="H10" s="1" t="s">
        <v>37</v>
      </c>
      <c r="I10" s="2">
        <v>44225</v>
      </c>
      <c r="J10" s="3">
        <v>829295</v>
      </c>
      <c r="K10" s="1" t="str" cm="1">
        <f t="array" ref="K10">_xlfn.IFS(Table3[[#This Row],[Price (INR)]]&lt;=35000,"Low end Mobile",Table3[[#This Row],[Price (INR)]]&gt;35000 =AND(Table3[[#This Row],[Price (INR)]]&lt;=65000),"Medium end Mobile",Table3[[#This Row],[Price (INR)]]&gt;65000,"High end Mobile")</f>
        <v>High end Mobile</v>
      </c>
      <c r="L10" s="16" t="str" cm="1">
        <f t="array" ref="L10">_xlfn.IFS(Table3[[#This Row],[Quantity Sold]]&lt;=500000, "Less Qty Sold", AND(Table3[[#This Row],[Quantity Sold]]&gt;500000, Table3[[#This Row],[Quantity Sold]]&lt;=1000000), "Medium Qty Sold", Table3[[#This Row],[Quantity Sold]]&gt;1000000, "High Qty Sold")</f>
        <v>Medium Qty Sold</v>
      </c>
    </row>
    <row r="11" spans="1:12" x14ac:dyDescent="0.3">
      <c r="A11" s="1">
        <v>10</v>
      </c>
      <c r="B11" s="10" t="s">
        <v>29</v>
      </c>
      <c r="C11" s="1" t="s">
        <v>38</v>
      </c>
      <c r="D11" s="1" t="s">
        <v>39</v>
      </c>
      <c r="E11" s="1" t="s">
        <v>40</v>
      </c>
      <c r="F11" s="1">
        <v>3700</v>
      </c>
      <c r="G11" s="1">
        <v>72999</v>
      </c>
      <c r="H11" s="1" t="s">
        <v>41</v>
      </c>
      <c r="I11" s="2">
        <v>44617</v>
      </c>
      <c r="J11" s="3">
        <v>3639336</v>
      </c>
      <c r="K11" s="1" t="str" cm="1">
        <f t="array" ref="K11">_xlfn.IFS(Table3[[#This Row],[Price (INR)]]&lt;=35000,"Low end Mobile",Table3[[#This Row],[Price (INR)]]&gt;35000 =AND(Table3[[#This Row],[Price (INR)]]&lt;=65000),"Medium end Mobile",Table3[[#This Row],[Price (INR)]]&gt;65000,"High end Mobile")</f>
        <v>High end Mobile</v>
      </c>
      <c r="L11" s="16" t="str" cm="1">
        <f t="array" ref="L11">_xlfn.IFS(Table3[[#This Row],[Quantity Sold]]&lt;=500000, "Less Qty Sold", AND(Table3[[#This Row],[Quantity Sold]]&gt;500000, Table3[[#This Row],[Quantity Sold]]&lt;=1000000), "Medium Qty Sold", Table3[[#This Row],[Quantity Sold]]&gt;1000000, "High Qty Sold")</f>
        <v>High Qty Sold</v>
      </c>
    </row>
    <row r="12" spans="1:12" x14ac:dyDescent="0.3">
      <c r="A12" s="13">
        <v>11</v>
      </c>
      <c r="B12" s="10" t="s">
        <v>29</v>
      </c>
      <c r="C12" s="1" t="s">
        <v>42</v>
      </c>
      <c r="D12" s="1" t="s">
        <v>43</v>
      </c>
      <c r="E12" s="1" t="s">
        <v>44</v>
      </c>
      <c r="F12" s="1">
        <v>5000</v>
      </c>
      <c r="G12" s="1">
        <v>124999</v>
      </c>
      <c r="H12" s="1" t="s">
        <v>45</v>
      </c>
      <c r="I12" s="2">
        <v>44974</v>
      </c>
      <c r="J12" s="3">
        <v>366612</v>
      </c>
      <c r="K12" s="1" t="str" cm="1">
        <f t="array" ref="K12">_xlfn.IFS(Table3[[#This Row],[Price (INR)]]&lt;=35000,"Low end Mobile",Table3[[#This Row],[Price (INR)]]&gt;35000 =AND(Table3[[#This Row],[Price (INR)]]&lt;=65000),"Medium end Mobile",Table3[[#This Row],[Price (INR)]]&gt;65000,"High end Mobile")</f>
        <v>High end Mobile</v>
      </c>
      <c r="L12" s="16" t="str" cm="1">
        <f t="array" ref="L12">_xlfn.IFS(Table3[[#This Row],[Quantity Sold]]&lt;=500000, "Less Qty Sold", AND(Table3[[#This Row],[Quantity Sold]]&gt;500000, Table3[[#This Row],[Quantity Sold]]&lt;=1000000), "Medium Qty Sold", Table3[[#This Row],[Quantity Sold]]&gt;1000000, "High Qty Sold")</f>
        <v>Less Qty Sold</v>
      </c>
    </row>
    <row r="13" spans="1:12" x14ac:dyDescent="0.3">
      <c r="A13" s="1">
        <v>12</v>
      </c>
      <c r="B13" s="10" t="s">
        <v>29</v>
      </c>
      <c r="C13" s="1" t="s">
        <v>46</v>
      </c>
      <c r="D13" s="1" t="s">
        <v>47</v>
      </c>
      <c r="E13" s="1" t="s">
        <v>44</v>
      </c>
      <c r="F13" s="1">
        <v>5000</v>
      </c>
      <c r="G13" s="1">
        <v>129999</v>
      </c>
      <c r="H13" s="1" t="s">
        <v>48</v>
      </c>
      <c r="I13" s="2">
        <v>45322</v>
      </c>
      <c r="J13" s="3">
        <v>349957</v>
      </c>
      <c r="K13" s="1" t="str" cm="1">
        <f t="array" ref="K13">_xlfn.IFS(Table3[[#This Row],[Price (INR)]]&lt;=35000,"Low end Mobile",Table3[[#This Row],[Price (INR)]]&gt;35000 =AND(Table3[[#This Row],[Price (INR)]]&lt;=65000),"Medium end Mobile",Table3[[#This Row],[Price (INR)]]&gt;65000,"High end Mobile")</f>
        <v>High end Mobile</v>
      </c>
      <c r="L13" s="16" t="str" cm="1">
        <f t="array" ref="L13">_xlfn.IFS(Table3[[#This Row],[Quantity Sold]]&lt;=500000, "Less Qty Sold", AND(Table3[[#This Row],[Quantity Sold]]&gt;500000, Table3[[#This Row],[Quantity Sold]]&lt;=1000000), "Medium Qty Sold", Table3[[#This Row],[Quantity Sold]]&gt;1000000, "High Qty Sold")</f>
        <v>Less Qty Sold</v>
      </c>
    </row>
    <row r="14" spans="1:12" x14ac:dyDescent="0.3">
      <c r="A14" s="13">
        <v>13</v>
      </c>
      <c r="B14" s="10" t="s">
        <v>29</v>
      </c>
      <c r="C14" s="1" t="s">
        <v>49</v>
      </c>
      <c r="D14" s="1" t="s">
        <v>50</v>
      </c>
      <c r="E14" s="1" t="s">
        <v>40</v>
      </c>
      <c r="F14" s="1">
        <v>4900</v>
      </c>
      <c r="G14" s="1">
        <v>99999</v>
      </c>
      <c r="H14" s="1" t="s">
        <v>51</v>
      </c>
      <c r="I14" s="2">
        <v>45698</v>
      </c>
      <c r="J14" s="3">
        <v>885972</v>
      </c>
      <c r="K14" s="1" t="str" cm="1">
        <f t="array" ref="K14">_xlfn.IFS(Table3[[#This Row],[Price (INR)]]&lt;=35000,"Low end Mobile",Table3[[#This Row],[Price (INR)]]&gt;35000 =AND(Table3[[#This Row],[Price (INR)]]&lt;=65000),"Medium end Mobile",Table3[[#This Row],[Price (INR)]]&gt;65000,"High end Mobile")</f>
        <v>High end Mobile</v>
      </c>
      <c r="L14" s="16" t="str" cm="1">
        <f t="array" ref="L14">_xlfn.IFS(Table3[[#This Row],[Quantity Sold]]&lt;=500000, "Less Qty Sold", AND(Table3[[#This Row],[Quantity Sold]]&gt;500000, Table3[[#This Row],[Quantity Sold]]&lt;=1000000), "Medium Qty Sold", Table3[[#This Row],[Quantity Sold]]&gt;1000000, "High Qty Sold")</f>
        <v>Medium Qty Sold</v>
      </c>
    </row>
    <row r="15" spans="1:12" x14ac:dyDescent="0.3">
      <c r="A15" s="1">
        <v>14</v>
      </c>
      <c r="B15" s="10" t="s">
        <v>29</v>
      </c>
      <c r="C15" s="1" t="s">
        <v>52</v>
      </c>
      <c r="D15" s="1" t="s">
        <v>53</v>
      </c>
      <c r="E15" s="1" t="s">
        <v>44</v>
      </c>
      <c r="F15" s="1">
        <v>5200</v>
      </c>
      <c r="G15" s="1">
        <v>134999</v>
      </c>
      <c r="H15" s="1" t="s">
        <v>54</v>
      </c>
      <c r="I15" s="2">
        <v>46058</v>
      </c>
      <c r="J15" s="3">
        <v>1934068</v>
      </c>
      <c r="K15" s="1" t="str" cm="1">
        <f t="array" ref="K15">_xlfn.IFS(Table3[[#This Row],[Price (INR)]]&lt;=35000,"Low end Mobile",Table3[[#This Row],[Price (INR)]]&gt;35000 =AND(Table3[[#This Row],[Price (INR)]]&lt;=65000),"Medium end Mobile",Table3[[#This Row],[Price (INR)]]&gt;65000,"High end Mobile")</f>
        <v>High end Mobile</v>
      </c>
      <c r="L15" s="16" t="str" cm="1">
        <f t="array" ref="L15">_xlfn.IFS(Table3[[#This Row],[Quantity Sold]]&lt;=500000, "Less Qty Sold", AND(Table3[[#This Row],[Quantity Sold]]&gt;500000, Table3[[#This Row],[Quantity Sold]]&lt;=1000000), "Medium Qty Sold", Table3[[#This Row],[Quantity Sold]]&gt;1000000, "High Qty Sold")</f>
        <v>High Qty Sold</v>
      </c>
    </row>
    <row r="16" spans="1:12" x14ac:dyDescent="0.3">
      <c r="A16" s="13">
        <v>15</v>
      </c>
      <c r="B16" s="10" t="s">
        <v>55</v>
      </c>
      <c r="C16" s="1" t="s">
        <v>56</v>
      </c>
      <c r="D16" s="1" t="s">
        <v>57</v>
      </c>
      <c r="E16" s="1" t="s">
        <v>18</v>
      </c>
      <c r="F16" s="1">
        <v>4400</v>
      </c>
      <c r="G16" s="1">
        <v>31990</v>
      </c>
      <c r="H16" s="1" t="s">
        <v>13</v>
      </c>
      <c r="I16" s="2">
        <v>44317</v>
      </c>
      <c r="J16" s="3">
        <v>2051701</v>
      </c>
      <c r="K16" s="1" t="str" cm="1">
        <f t="array" ref="K16">_xlfn.IFS(Table3[[#This Row],[Price (INR)]]&lt;=35000,"Low end Mobile",Table3[[#This Row],[Price (INR)]]&gt;35000 =AND(Table3[[#This Row],[Price (INR)]]&lt;=65000),"Medium end Mobile",Table3[[#This Row],[Price (INR)]]&gt;65000,"High end Mobile")</f>
        <v>Low end Mobile</v>
      </c>
      <c r="L16" s="16" t="str" cm="1">
        <f t="array" ref="L16">_xlfn.IFS(Table3[[#This Row],[Quantity Sold]]&lt;=500000, "Less Qty Sold", AND(Table3[[#This Row],[Quantity Sold]]&gt;500000, Table3[[#This Row],[Quantity Sold]]&lt;=1000000), "Medium Qty Sold", Table3[[#This Row],[Quantity Sold]]&gt;1000000, "High Qty Sold")</f>
        <v>High Qty Sold</v>
      </c>
    </row>
    <row r="17" spans="1:12" x14ac:dyDescent="0.3">
      <c r="A17" s="1">
        <v>16</v>
      </c>
      <c r="B17" s="10" t="s">
        <v>55</v>
      </c>
      <c r="C17" s="1" t="s">
        <v>58</v>
      </c>
      <c r="D17" s="1" t="s">
        <v>39</v>
      </c>
      <c r="E17" s="1" t="s">
        <v>40</v>
      </c>
      <c r="F17" s="1">
        <v>4700</v>
      </c>
      <c r="G17" s="1">
        <v>64990</v>
      </c>
      <c r="H17" s="1" t="s">
        <v>59</v>
      </c>
      <c r="I17" s="2">
        <v>44622</v>
      </c>
      <c r="J17" s="3">
        <v>4339227</v>
      </c>
      <c r="K17" s="1" t="str" cm="1">
        <f t="array" ref="K17">_xlfn.IFS(Table3[[#This Row],[Price (INR)]]&lt;=35000,"Low end Mobile",Table3[[#This Row],[Price (INR)]]&gt;35000 =AND(Table3[[#This Row],[Price (INR)]]&lt;=65000),"Medium end Mobile",Table3[[#This Row],[Price (INR)]]&gt;65000,"High end Mobile")</f>
        <v>Medium end Mobile</v>
      </c>
      <c r="L17" s="16" t="str" cm="1">
        <f t="array" ref="L17">_xlfn.IFS(Table3[[#This Row],[Quantity Sold]]&lt;=500000, "Less Qty Sold", AND(Table3[[#This Row],[Quantity Sold]]&gt;500000, Table3[[#This Row],[Quantity Sold]]&lt;=1000000), "Medium Qty Sold", Table3[[#This Row],[Quantity Sold]]&gt;1000000, "High Qty Sold")</f>
        <v>High Qty Sold</v>
      </c>
    </row>
    <row r="18" spans="1:12" x14ac:dyDescent="0.3">
      <c r="A18" s="13">
        <v>17</v>
      </c>
      <c r="B18" s="10" t="s">
        <v>55</v>
      </c>
      <c r="C18" s="1" t="s">
        <v>60</v>
      </c>
      <c r="D18" s="1" t="s">
        <v>43</v>
      </c>
      <c r="E18" s="1" t="s">
        <v>40</v>
      </c>
      <c r="F18" s="1">
        <v>5000</v>
      </c>
      <c r="G18" s="1">
        <v>59999</v>
      </c>
      <c r="H18" s="1" t="s">
        <v>61</v>
      </c>
      <c r="I18" s="2">
        <v>44936</v>
      </c>
      <c r="J18" s="3">
        <v>322599</v>
      </c>
      <c r="K18" s="1" t="str" cm="1">
        <f t="array" ref="K18">_xlfn.IFS(Table3[[#This Row],[Price (INR)]]&lt;=35000,"Low end Mobile",Table3[[#This Row],[Price (INR)]]&gt;35000 =AND(Table3[[#This Row],[Price (INR)]]&lt;=65000),"Medium end Mobile",Table3[[#This Row],[Price (INR)]]&gt;65000,"High end Mobile")</f>
        <v>Medium end Mobile</v>
      </c>
      <c r="L18" s="16" t="str" cm="1">
        <f t="array" ref="L18">_xlfn.IFS(Table3[[#This Row],[Quantity Sold]]&lt;=500000, "Less Qty Sold", AND(Table3[[#This Row],[Quantity Sold]]&gt;500000, Table3[[#This Row],[Quantity Sold]]&lt;=1000000), "Medium Qty Sold", Table3[[#This Row],[Quantity Sold]]&gt;1000000, "High Qty Sold")</f>
        <v>Less Qty Sold</v>
      </c>
    </row>
    <row r="19" spans="1:12" x14ac:dyDescent="0.3">
      <c r="A19" s="1">
        <v>18</v>
      </c>
      <c r="B19" s="10" t="s">
        <v>55</v>
      </c>
      <c r="C19" s="1" t="s">
        <v>62</v>
      </c>
      <c r="D19" s="1" t="s">
        <v>47</v>
      </c>
      <c r="E19" s="1" t="s">
        <v>40</v>
      </c>
      <c r="F19" s="1">
        <v>5000</v>
      </c>
      <c r="G19" s="1">
        <v>52999</v>
      </c>
      <c r="H19" s="1" t="s">
        <v>63</v>
      </c>
      <c r="I19" s="2">
        <v>45274</v>
      </c>
      <c r="J19" s="3">
        <v>4808064</v>
      </c>
      <c r="K19" s="1" t="str" cm="1">
        <f t="array" ref="K19">_xlfn.IFS(Table3[[#This Row],[Price (INR)]]&lt;=35000,"Low end Mobile",Table3[[#This Row],[Price (INR)]]&gt;35000 =AND(Table3[[#This Row],[Price (INR)]]&lt;=65000),"Medium end Mobile",Table3[[#This Row],[Price (INR)]]&gt;65000,"High end Mobile")</f>
        <v>Medium end Mobile</v>
      </c>
      <c r="L19" s="16" t="str" cm="1">
        <f t="array" ref="L19">_xlfn.IFS(Table3[[#This Row],[Quantity Sold]]&lt;=500000, "Less Qty Sold", AND(Table3[[#This Row],[Quantity Sold]]&gt;500000, Table3[[#This Row],[Quantity Sold]]&lt;=1000000), "Medium Qty Sold", Table3[[#This Row],[Quantity Sold]]&gt;1000000, "High Qty Sold")</f>
        <v>High Qty Sold</v>
      </c>
    </row>
    <row r="20" spans="1:12" x14ac:dyDescent="0.3">
      <c r="A20" s="13">
        <v>19</v>
      </c>
      <c r="B20" s="10" t="s">
        <v>55</v>
      </c>
      <c r="C20" s="1" t="s">
        <v>64</v>
      </c>
      <c r="D20" s="1" t="s">
        <v>43</v>
      </c>
      <c r="E20" s="1" t="s">
        <v>65</v>
      </c>
      <c r="F20" s="1">
        <v>5160</v>
      </c>
      <c r="G20" s="1">
        <v>35999</v>
      </c>
      <c r="H20" s="1" t="s">
        <v>66</v>
      </c>
      <c r="I20" s="2">
        <v>45344</v>
      </c>
      <c r="J20" s="3">
        <v>1767971</v>
      </c>
      <c r="K20" s="1" t="str" cm="1">
        <f t="array" ref="K20">_xlfn.IFS(Table3[[#This Row],[Price (INR)]]&lt;=35000,"Low end Mobile",Table3[[#This Row],[Price (INR)]]&gt;35000 =AND(Table3[[#This Row],[Price (INR)]]&lt;=65000),"Medium end Mobile",Table3[[#This Row],[Price (INR)]]&gt;65000,"High end Mobile")</f>
        <v>Medium end Mobile</v>
      </c>
      <c r="L20" s="16" t="str" cm="1">
        <f t="array" ref="L20">_xlfn.IFS(Table3[[#This Row],[Quantity Sold]]&lt;=500000, "Less Qty Sold", AND(Table3[[#This Row],[Quantity Sold]]&gt;500000, Table3[[#This Row],[Quantity Sold]]&lt;=1000000), "Medium Qty Sold", Table3[[#This Row],[Quantity Sold]]&gt;1000000, "High Qty Sold")</f>
        <v>High Qty Sold</v>
      </c>
    </row>
    <row r="21" spans="1:12" x14ac:dyDescent="0.3">
      <c r="A21" s="1">
        <v>20</v>
      </c>
      <c r="B21" s="10" t="s">
        <v>55</v>
      </c>
      <c r="C21" s="1" t="s">
        <v>67</v>
      </c>
      <c r="D21" s="1" t="s">
        <v>47</v>
      </c>
      <c r="E21" s="1" t="s">
        <v>65</v>
      </c>
      <c r="F21" s="1">
        <v>5500</v>
      </c>
      <c r="G21" s="1">
        <v>39999</v>
      </c>
      <c r="H21" s="1" t="s">
        <v>68</v>
      </c>
      <c r="I21" s="2">
        <v>45762</v>
      </c>
      <c r="J21" s="3">
        <v>4671300</v>
      </c>
      <c r="K21" s="1" t="str" cm="1">
        <f t="array" ref="K21">_xlfn.IFS(Table3[[#This Row],[Price (INR)]]&lt;=35000,"Low end Mobile",Table3[[#This Row],[Price (INR)]]&gt;35000 =AND(Table3[[#This Row],[Price (INR)]]&lt;=65000),"Medium end Mobile",Table3[[#This Row],[Price (INR)]]&gt;65000,"High end Mobile")</f>
        <v>Medium end Mobile</v>
      </c>
      <c r="L21" s="16" t="str" cm="1">
        <f t="array" ref="L21">_xlfn.IFS(Table3[[#This Row],[Quantity Sold]]&lt;=500000, "Less Qty Sold", AND(Table3[[#This Row],[Quantity Sold]]&gt;500000, Table3[[#This Row],[Quantity Sold]]&lt;=1000000), "Medium Qty Sold", Table3[[#This Row],[Quantity Sold]]&gt;1000000, "High Qty Sold")</f>
        <v>High Qty Sold</v>
      </c>
    </row>
    <row r="22" spans="1:12" x14ac:dyDescent="0.3">
      <c r="A22" s="13">
        <v>21</v>
      </c>
      <c r="B22" s="10" t="s">
        <v>69</v>
      </c>
      <c r="C22" s="1" t="s">
        <v>70</v>
      </c>
      <c r="D22" s="1" t="s">
        <v>71</v>
      </c>
      <c r="E22" s="1" t="s">
        <v>72</v>
      </c>
      <c r="F22" s="1">
        <v>5020</v>
      </c>
      <c r="G22" s="1">
        <v>15999</v>
      </c>
      <c r="H22" s="1" t="s">
        <v>73</v>
      </c>
      <c r="I22" s="2">
        <v>44272</v>
      </c>
      <c r="J22" s="3">
        <v>3619187</v>
      </c>
      <c r="K22" s="1" t="str" cm="1">
        <f t="array" ref="K22">_xlfn.IFS(Table3[[#This Row],[Price (INR)]]&lt;=35000,"Low end Mobile",Table3[[#This Row],[Price (INR)]]&gt;35000 =AND(Table3[[#This Row],[Price (INR)]]&lt;=65000),"Medium end Mobile",Table3[[#This Row],[Price (INR)]]&gt;65000,"High end Mobile")</f>
        <v>Low end Mobile</v>
      </c>
      <c r="L22" s="16" t="str" cm="1">
        <f t="array" ref="L22">_xlfn.IFS(Table3[[#This Row],[Quantity Sold]]&lt;=500000, "Less Qty Sold", AND(Table3[[#This Row],[Quantity Sold]]&gt;500000, Table3[[#This Row],[Quantity Sold]]&lt;=1000000), "Medium Qty Sold", Table3[[#This Row],[Quantity Sold]]&gt;1000000, "High Qty Sold")</f>
        <v>High Qty Sold</v>
      </c>
    </row>
    <row r="23" spans="1:12" x14ac:dyDescent="0.3">
      <c r="A23" s="1">
        <v>22</v>
      </c>
      <c r="B23" s="10" t="s">
        <v>69</v>
      </c>
      <c r="C23" s="1" t="s">
        <v>74</v>
      </c>
      <c r="D23" s="1" t="s">
        <v>75</v>
      </c>
      <c r="E23" s="1" t="s">
        <v>76</v>
      </c>
      <c r="F23" s="1">
        <v>5000</v>
      </c>
      <c r="G23" s="1">
        <v>20999</v>
      </c>
      <c r="H23" s="1" t="s">
        <v>13</v>
      </c>
      <c r="I23" s="2">
        <v>44635</v>
      </c>
      <c r="J23" s="3">
        <v>1949189</v>
      </c>
      <c r="K23" s="1" t="str" cm="1">
        <f t="array" ref="K23">_xlfn.IFS(Table3[[#This Row],[Price (INR)]]&lt;=35000,"Low end Mobile",Table3[[#This Row],[Price (INR)]]&gt;35000 =AND(Table3[[#This Row],[Price (INR)]]&lt;=65000),"Medium end Mobile",Table3[[#This Row],[Price (INR)]]&gt;65000,"High end Mobile")</f>
        <v>Low end Mobile</v>
      </c>
      <c r="L23" s="16" t="str" cm="1">
        <f t="array" ref="L23">_xlfn.IFS(Table3[[#This Row],[Quantity Sold]]&lt;=500000, "Less Qty Sold", AND(Table3[[#This Row],[Quantity Sold]]&gt;500000, Table3[[#This Row],[Quantity Sold]]&lt;=1000000), "Medium Qty Sold", Table3[[#This Row],[Quantity Sold]]&gt;1000000, "High Qty Sold")</f>
        <v>High Qty Sold</v>
      </c>
    </row>
    <row r="24" spans="1:12" x14ac:dyDescent="0.3">
      <c r="A24" s="13">
        <v>23</v>
      </c>
      <c r="B24" s="10" t="s">
        <v>69</v>
      </c>
      <c r="C24" s="1" t="s">
        <v>77</v>
      </c>
      <c r="D24" s="1" t="s">
        <v>78</v>
      </c>
      <c r="E24" s="1" t="s">
        <v>40</v>
      </c>
      <c r="F24" s="1">
        <v>5000</v>
      </c>
      <c r="G24" s="1">
        <v>24999</v>
      </c>
      <c r="H24" s="1" t="s">
        <v>79</v>
      </c>
      <c r="I24" s="2">
        <v>44937</v>
      </c>
      <c r="J24" s="3">
        <v>3868238</v>
      </c>
      <c r="K24" s="1" t="str" cm="1">
        <f t="array" ref="K24">_xlfn.IFS(Table3[[#This Row],[Price (INR)]]&lt;=35000,"Low end Mobile",Table3[[#This Row],[Price (INR)]]&gt;35000 =AND(Table3[[#This Row],[Price (INR)]]&lt;=65000),"Medium end Mobile",Table3[[#This Row],[Price (INR)]]&gt;65000,"High end Mobile")</f>
        <v>Low end Mobile</v>
      </c>
      <c r="L24" s="16" t="str" cm="1">
        <f t="array" ref="L24">_xlfn.IFS(Table3[[#This Row],[Quantity Sold]]&lt;=500000, "Less Qty Sold", AND(Table3[[#This Row],[Quantity Sold]]&gt;500000, Table3[[#This Row],[Quantity Sold]]&lt;=1000000), "Medium Qty Sold", Table3[[#This Row],[Quantity Sold]]&gt;1000000, "High Qty Sold")</f>
        <v>High Qty Sold</v>
      </c>
    </row>
    <row r="25" spans="1:12" x14ac:dyDescent="0.3">
      <c r="A25" s="1">
        <v>24</v>
      </c>
      <c r="B25" s="10" t="s">
        <v>69</v>
      </c>
      <c r="C25" s="1" t="s">
        <v>80</v>
      </c>
      <c r="D25" s="1" t="s">
        <v>81</v>
      </c>
      <c r="E25" s="1" t="s">
        <v>82</v>
      </c>
      <c r="F25" s="1">
        <v>5000</v>
      </c>
      <c r="G25" s="1">
        <v>31999</v>
      </c>
      <c r="H25" s="1" t="s">
        <v>83</v>
      </c>
      <c r="I25" s="2">
        <v>45295</v>
      </c>
      <c r="J25" s="3">
        <v>2433632</v>
      </c>
      <c r="K25" s="1" t="str" cm="1">
        <f t="array" ref="K25">_xlfn.IFS(Table3[[#This Row],[Price (INR)]]&lt;=35000,"Low end Mobile",Table3[[#This Row],[Price (INR)]]&gt;35000 =AND(Table3[[#This Row],[Price (INR)]]&lt;=65000),"Medium end Mobile",Table3[[#This Row],[Price (INR)]]&gt;65000,"High end Mobile")</f>
        <v>Low end Mobile</v>
      </c>
      <c r="L25" s="16" t="str" cm="1">
        <f t="array" ref="L25">_xlfn.IFS(Table3[[#This Row],[Quantity Sold]]&lt;=500000, "Less Qty Sold", AND(Table3[[#This Row],[Quantity Sold]]&gt;500000, Table3[[#This Row],[Quantity Sold]]&lt;=1000000), "Medium Qty Sold", Table3[[#This Row],[Quantity Sold]]&gt;1000000, "High Qty Sold")</f>
        <v>High Qty Sold</v>
      </c>
    </row>
    <row r="26" spans="1:12" x14ac:dyDescent="0.3">
      <c r="A26" s="13">
        <v>25</v>
      </c>
      <c r="B26" s="10" t="s">
        <v>69</v>
      </c>
      <c r="C26" s="1" t="s">
        <v>84</v>
      </c>
      <c r="D26" s="1" t="s">
        <v>85</v>
      </c>
      <c r="E26" s="1" t="s">
        <v>82</v>
      </c>
      <c r="F26" s="1">
        <v>5100</v>
      </c>
      <c r="G26" s="1">
        <v>28999</v>
      </c>
      <c r="H26" s="1" t="s">
        <v>86</v>
      </c>
      <c r="I26" s="2">
        <v>45672</v>
      </c>
      <c r="J26" s="3">
        <v>154515</v>
      </c>
      <c r="K26" s="1" t="str" cm="1">
        <f t="array" ref="K26">_xlfn.IFS(Table3[[#This Row],[Price (INR)]]&lt;=35000,"Low end Mobile",Table3[[#This Row],[Price (INR)]]&gt;35000 =AND(Table3[[#This Row],[Price (INR)]]&lt;=65000),"Medium end Mobile",Table3[[#This Row],[Price (INR)]]&gt;65000,"High end Mobile")</f>
        <v>Low end Mobile</v>
      </c>
      <c r="L26" s="16" t="str" cm="1">
        <f t="array" ref="L26">_xlfn.IFS(Table3[[#This Row],[Quantity Sold]]&lt;=500000, "Less Qty Sold", AND(Table3[[#This Row],[Quantity Sold]]&gt;500000, Table3[[#This Row],[Quantity Sold]]&lt;=1000000), "Medium Qty Sold", Table3[[#This Row],[Quantity Sold]]&gt;1000000, "High Qty Sold")</f>
        <v>Less Qty Sold</v>
      </c>
    </row>
    <row r="27" spans="1:12" x14ac:dyDescent="0.3">
      <c r="A27" s="1">
        <v>26</v>
      </c>
      <c r="B27" s="10" t="s">
        <v>69</v>
      </c>
      <c r="C27" s="1" t="s">
        <v>87</v>
      </c>
      <c r="D27" s="1" t="s">
        <v>88</v>
      </c>
      <c r="E27" s="1" t="s">
        <v>82</v>
      </c>
      <c r="F27" s="1">
        <v>5500</v>
      </c>
      <c r="G27" s="1">
        <v>33999</v>
      </c>
      <c r="H27" s="1" t="s">
        <v>89</v>
      </c>
      <c r="I27" s="2">
        <v>46042</v>
      </c>
      <c r="J27" s="3">
        <v>1439319</v>
      </c>
      <c r="K27" s="1" t="str" cm="1">
        <f t="array" ref="K27">_xlfn.IFS(Table3[[#This Row],[Price (INR)]]&lt;=35000,"Low end Mobile",Table3[[#This Row],[Price (INR)]]&gt;35000 =AND(Table3[[#This Row],[Price (INR)]]&lt;=65000),"Medium end Mobile",Table3[[#This Row],[Price (INR)]]&gt;65000,"High end Mobile")</f>
        <v>Low end Mobile</v>
      </c>
      <c r="L27" s="16" t="str" cm="1">
        <f t="array" ref="L27">_xlfn.IFS(Table3[[#This Row],[Quantity Sold]]&lt;=500000, "Less Qty Sold", AND(Table3[[#This Row],[Quantity Sold]]&gt;500000, Table3[[#This Row],[Quantity Sold]]&lt;=1000000), "Medium Qty Sold", Table3[[#This Row],[Quantity Sold]]&gt;1000000, "High Qty Sold")</f>
        <v>High Qty Sold</v>
      </c>
    </row>
    <row r="28" spans="1:12" x14ac:dyDescent="0.3">
      <c r="A28" s="13">
        <v>27</v>
      </c>
      <c r="B28" s="10" t="s">
        <v>69</v>
      </c>
      <c r="C28" s="1" t="s">
        <v>90</v>
      </c>
      <c r="D28" s="1" t="s">
        <v>47</v>
      </c>
      <c r="E28" s="1" t="s">
        <v>40</v>
      </c>
      <c r="F28" s="1">
        <v>4610</v>
      </c>
      <c r="G28" s="1">
        <v>69999</v>
      </c>
      <c r="H28" s="1" t="s">
        <v>91</v>
      </c>
      <c r="I28" s="2">
        <v>45358</v>
      </c>
      <c r="J28" s="3">
        <v>3645146</v>
      </c>
      <c r="K28" s="1" t="str" cm="1">
        <f t="array" ref="K28">_xlfn.IFS(Table3[[#This Row],[Price (INR)]]&lt;=35000,"Low end Mobile",Table3[[#This Row],[Price (INR)]]&gt;35000 =AND(Table3[[#This Row],[Price (INR)]]&lt;=65000),"Medium end Mobile",Table3[[#This Row],[Price (INR)]]&gt;65000,"High end Mobile")</f>
        <v>High end Mobile</v>
      </c>
      <c r="L28" s="16" t="str" cm="1">
        <f t="array" ref="L28">_xlfn.IFS(Table3[[#This Row],[Quantity Sold]]&lt;=500000, "Less Qty Sold", AND(Table3[[#This Row],[Quantity Sold]]&gt;500000, Table3[[#This Row],[Quantity Sold]]&lt;=1000000), "Medium Qty Sold", Table3[[#This Row],[Quantity Sold]]&gt;1000000, "High Qty Sold")</f>
        <v>High Qty Sold</v>
      </c>
    </row>
    <row r="29" spans="1:12" x14ac:dyDescent="0.3">
      <c r="A29" s="1">
        <v>28</v>
      </c>
      <c r="B29" s="10" t="s">
        <v>92</v>
      </c>
      <c r="C29" s="1" t="s">
        <v>93</v>
      </c>
      <c r="D29" s="1" t="s">
        <v>94</v>
      </c>
      <c r="E29" s="1" t="s">
        <v>8</v>
      </c>
      <c r="F29" s="1">
        <v>4080</v>
      </c>
      <c r="G29" s="1">
        <v>59999</v>
      </c>
      <c r="H29" s="1" t="s">
        <v>95</v>
      </c>
      <c r="I29" s="2">
        <v>44119</v>
      </c>
      <c r="J29" s="3">
        <v>2954228</v>
      </c>
      <c r="K29" s="1" t="str" cm="1">
        <f t="array" ref="K29">_xlfn.IFS(Table3[[#This Row],[Price (INR)]]&lt;=35000,"Low end Mobile",Table3[[#This Row],[Price (INR)]]&gt;35000 =AND(Table3[[#This Row],[Price (INR)]]&lt;=65000),"Medium end Mobile",Table3[[#This Row],[Price (INR)]]&gt;65000,"High end Mobile")</f>
        <v>Medium end Mobile</v>
      </c>
      <c r="L29" s="16" t="str" cm="1">
        <f t="array" ref="L29">_xlfn.IFS(Table3[[#This Row],[Quantity Sold]]&lt;=500000, "Less Qty Sold", AND(Table3[[#This Row],[Quantity Sold]]&gt;500000, Table3[[#This Row],[Quantity Sold]]&lt;=1000000), "Medium Qty Sold", Table3[[#This Row],[Quantity Sold]]&gt;1000000, "High Qty Sold")</f>
        <v>High Qty Sold</v>
      </c>
    </row>
    <row r="30" spans="1:12" x14ac:dyDescent="0.3">
      <c r="A30" s="13">
        <v>29</v>
      </c>
      <c r="B30" s="10" t="s">
        <v>92</v>
      </c>
      <c r="C30" s="1" t="s">
        <v>96</v>
      </c>
      <c r="D30" s="1" t="s">
        <v>97</v>
      </c>
      <c r="E30" s="1" t="s">
        <v>65</v>
      </c>
      <c r="F30" s="1">
        <v>4614</v>
      </c>
      <c r="G30" s="1">
        <v>59999</v>
      </c>
      <c r="H30" s="1" t="s">
        <v>98</v>
      </c>
      <c r="I30" s="2">
        <v>44497</v>
      </c>
      <c r="J30" s="3">
        <v>2430953</v>
      </c>
      <c r="K30" s="1" t="str" cm="1">
        <f t="array" ref="K30">_xlfn.IFS(Table3[[#This Row],[Price (INR)]]&lt;=35000,"Low end Mobile",Table3[[#This Row],[Price (INR)]]&gt;35000 =AND(Table3[[#This Row],[Price (INR)]]&lt;=65000),"Medium end Mobile",Table3[[#This Row],[Price (INR)]]&gt;65000,"High end Mobile")</f>
        <v>Medium end Mobile</v>
      </c>
      <c r="L30" s="16" t="str" cm="1">
        <f t="array" ref="L30">_xlfn.IFS(Table3[[#This Row],[Quantity Sold]]&lt;=500000, "Less Qty Sold", AND(Table3[[#This Row],[Quantity Sold]]&gt;500000, Table3[[#This Row],[Quantity Sold]]&lt;=1000000), "Medium Qty Sold", Table3[[#This Row],[Quantity Sold]]&gt;1000000, "High Qty Sold")</f>
        <v>High Qty Sold</v>
      </c>
    </row>
    <row r="31" spans="1:12" x14ac:dyDescent="0.3">
      <c r="A31" s="1">
        <v>30</v>
      </c>
      <c r="B31" s="10" t="s">
        <v>92</v>
      </c>
      <c r="C31" s="1" t="s">
        <v>99</v>
      </c>
      <c r="D31" s="1" t="s">
        <v>100</v>
      </c>
      <c r="E31" s="1" t="s">
        <v>40</v>
      </c>
      <c r="F31" s="1">
        <v>5000</v>
      </c>
      <c r="G31" s="1">
        <v>84999</v>
      </c>
      <c r="H31" s="1" t="s">
        <v>101</v>
      </c>
      <c r="I31" s="2">
        <v>44847</v>
      </c>
      <c r="J31" s="3">
        <v>1404256</v>
      </c>
      <c r="K31" s="1" t="str" cm="1">
        <f t="array" ref="K31">_xlfn.IFS(Table3[[#This Row],[Price (INR)]]&lt;=35000,"Low end Mobile",Table3[[#This Row],[Price (INR)]]&gt;35000 =AND(Table3[[#This Row],[Price (INR)]]&lt;=65000),"Medium end Mobile",Table3[[#This Row],[Price (INR)]]&gt;65000,"High end Mobile")</f>
        <v>High end Mobile</v>
      </c>
      <c r="L31" s="16" t="str" cm="1">
        <f t="array" ref="L31">_xlfn.IFS(Table3[[#This Row],[Quantity Sold]]&lt;=500000, "Less Qty Sold", AND(Table3[[#This Row],[Quantity Sold]]&gt;500000, Table3[[#This Row],[Quantity Sold]]&lt;=1000000), "Medium Qty Sold", Table3[[#This Row],[Quantity Sold]]&gt;1000000, "High Qty Sold")</f>
        <v>High Qty Sold</v>
      </c>
    </row>
    <row r="32" spans="1:12" x14ac:dyDescent="0.3">
      <c r="A32" s="13">
        <v>31</v>
      </c>
      <c r="B32" s="10" t="s">
        <v>92</v>
      </c>
      <c r="C32" s="1" t="s">
        <v>102</v>
      </c>
      <c r="D32" s="1" t="s">
        <v>103</v>
      </c>
      <c r="E32" s="1" t="s">
        <v>65</v>
      </c>
      <c r="F32" s="1">
        <v>4575</v>
      </c>
      <c r="G32" s="1">
        <v>75999</v>
      </c>
      <c r="H32" s="1" t="s">
        <v>104</v>
      </c>
      <c r="I32" s="2">
        <v>45211</v>
      </c>
      <c r="J32" s="3">
        <v>1906182</v>
      </c>
      <c r="K32" s="1" t="str" cm="1">
        <f t="array" ref="K32">_xlfn.IFS(Table3[[#This Row],[Price (INR)]]&lt;=35000,"Low end Mobile",Table3[[#This Row],[Price (INR)]]&gt;35000 =AND(Table3[[#This Row],[Price (INR)]]&lt;=65000),"Medium end Mobile",Table3[[#This Row],[Price (INR)]]&gt;65000,"High end Mobile")</f>
        <v>High end Mobile</v>
      </c>
      <c r="L32" s="16" t="str" cm="1">
        <f t="array" ref="L32">_xlfn.IFS(Table3[[#This Row],[Quantity Sold]]&lt;=500000, "Less Qty Sold", AND(Table3[[#This Row],[Quantity Sold]]&gt;500000, Table3[[#This Row],[Quantity Sold]]&lt;=1000000), "Medium Qty Sold", Table3[[#This Row],[Quantity Sold]]&gt;1000000, "High Qty Sold")</f>
        <v>High Qty Sold</v>
      </c>
    </row>
    <row r="33" spans="1:12" x14ac:dyDescent="0.3">
      <c r="A33" s="1">
        <v>32</v>
      </c>
      <c r="B33" s="10" t="s">
        <v>92</v>
      </c>
      <c r="C33" s="1" t="s">
        <v>105</v>
      </c>
      <c r="D33" s="1" t="s">
        <v>106</v>
      </c>
      <c r="E33" s="1" t="s">
        <v>40</v>
      </c>
      <c r="F33" s="1">
        <v>5000</v>
      </c>
      <c r="G33" s="1">
        <v>99999</v>
      </c>
      <c r="H33" s="1" t="s">
        <v>107</v>
      </c>
      <c r="I33" s="2">
        <v>45526</v>
      </c>
      <c r="J33" s="3">
        <v>2923559</v>
      </c>
      <c r="K33" s="1" t="str" cm="1">
        <f t="array" ref="K33">_xlfn.IFS(Table3[[#This Row],[Price (INR)]]&lt;=35000,"Low end Mobile",Table3[[#This Row],[Price (INR)]]&gt;35000 =AND(Table3[[#This Row],[Price (INR)]]&lt;=65000),"Medium end Mobile",Table3[[#This Row],[Price (INR)]]&gt;65000,"High end Mobile")</f>
        <v>High end Mobile</v>
      </c>
      <c r="L33" s="16" t="str" cm="1">
        <f t="array" ref="L33">_xlfn.IFS(Table3[[#This Row],[Quantity Sold]]&lt;=500000, "Less Qty Sold", AND(Table3[[#This Row],[Quantity Sold]]&gt;500000, Table3[[#This Row],[Quantity Sold]]&lt;=1000000), "Medium Qty Sold", Table3[[#This Row],[Quantity Sold]]&gt;1000000, "High Qty Sold")</f>
        <v>High Qty Sold</v>
      </c>
    </row>
    <row r="34" spans="1:12" x14ac:dyDescent="0.3">
      <c r="A34" s="13">
        <v>33</v>
      </c>
      <c r="B34" s="10" t="s">
        <v>92</v>
      </c>
      <c r="C34" s="1" t="s">
        <v>108</v>
      </c>
      <c r="D34" s="1" t="s">
        <v>109</v>
      </c>
      <c r="E34" s="1" t="s">
        <v>65</v>
      </c>
      <c r="F34" s="1">
        <v>4800</v>
      </c>
      <c r="G34" s="1">
        <v>82999</v>
      </c>
      <c r="H34" s="1" t="s">
        <v>110</v>
      </c>
      <c r="I34" s="2">
        <v>45945</v>
      </c>
      <c r="J34" s="3">
        <v>957401</v>
      </c>
      <c r="K34" s="1" t="str" cm="1">
        <f t="array" ref="K34">_xlfn.IFS(Table3[[#This Row],[Price (INR)]]&lt;=35000,"Low end Mobile",Table3[[#This Row],[Price (INR)]]&gt;35000 =AND(Table3[[#This Row],[Price (INR)]]&lt;=65000),"Medium end Mobile",Table3[[#This Row],[Price (INR)]]&gt;65000,"High end Mobile")</f>
        <v>High end Mobile</v>
      </c>
      <c r="L34" s="16" t="str" cm="1">
        <f t="array" ref="L34">_xlfn.IFS(Table3[[#This Row],[Quantity Sold]]&lt;=500000, "Less Qty Sold", AND(Table3[[#This Row],[Quantity Sold]]&gt;500000, Table3[[#This Row],[Quantity Sold]]&lt;=1000000), "Medium Qty Sold", Table3[[#This Row],[Quantity Sold]]&gt;1000000, "High Qty Sold")</f>
        <v>Medium Qty Sold</v>
      </c>
    </row>
    <row r="35" spans="1:12" x14ac:dyDescent="0.3">
      <c r="A35" s="1">
        <v>34</v>
      </c>
      <c r="B35" s="10" t="s">
        <v>111</v>
      </c>
      <c r="C35" s="1" t="s">
        <v>112</v>
      </c>
      <c r="D35" s="1" t="s">
        <v>113</v>
      </c>
      <c r="E35" s="1" t="s">
        <v>114</v>
      </c>
      <c r="F35" s="1">
        <v>4500</v>
      </c>
      <c r="G35" s="1">
        <v>42999</v>
      </c>
      <c r="H35" s="1" t="s">
        <v>115</v>
      </c>
      <c r="I35" s="2">
        <v>44120</v>
      </c>
      <c r="J35" s="3">
        <v>878008</v>
      </c>
      <c r="K35" s="1" t="str" cm="1">
        <f t="array" ref="K35">_xlfn.IFS(Table3[[#This Row],[Price (INR)]]&lt;=35000,"Low end Mobile",Table3[[#This Row],[Price (INR)]]&gt;35000 =AND(Table3[[#This Row],[Price (INR)]]&lt;=65000),"Medium end Mobile",Table3[[#This Row],[Price (INR)]]&gt;65000,"High end Mobile")</f>
        <v>Medium end Mobile</v>
      </c>
      <c r="L35" s="16" t="str" cm="1">
        <f t="array" ref="L35">_xlfn.IFS(Table3[[#This Row],[Quantity Sold]]&lt;=500000, "Less Qty Sold", AND(Table3[[#This Row],[Quantity Sold]]&gt;500000, Table3[[#This Row],[Quantity Sold]]&lt;=1000000), "Medium Qty Sold", Table3[[#This Row],[Quantity Sold]]&gt;1000000, "High Qty Sold")</f>
        <v>Medium Qty Sold</v>
      </c>
    </row>
    <row r="36" spans="1:12" x14ac:dyDescent="0.3">
      <c r="A36" s="13">
        <v>35</v>
      </c>
      <c r="B36" s="10" t="s">
        <v>111</v>
      </c>
      <c r="C36" s="1" t="s">
        <v>116</v>
      </c>
      <c r="D36" s="1" t="s">
        <v>35</v>
      </c>
      <c r="E36" s="1" t="s">
        <v>114</v>
      </c>
      <c r="F36" s="1">
        <v>4500</v>
      </c>
      <c r="G36" s="1">
        <v>64999</v>
      </c>
      <c r="H36" s="1" t="s">
        <v>117</v>
      </c>
      <c r="I36" s="2">
        <v>44286</v>
      </c>
      <c r="J36" s="3">
        <v>3287061</v>
      </c>
      <c r="K36" s="1" t="str" cm="1">
        <f t="array" ref="K36">_xlfn.IFS(Table3[[#This Row],[Price (INR)]]&lt;=35000,"Low end Mobile",Table3[[#This Row],[Price (INR)]]&gt;35000 =AND(Table3[[#This Row],[Price (INR)]]&lt;=65000),"Medium end Mobile",Table3[[#This Row],[Price (INR)]]&gt;65000,"High end Mobile")</f>
        <v>Medium end Mobile</v>
      </c>
      <c r="L36" s="16" t="str" cm="1">
        <f t="array" ref="L36">_xlfn.IFS(Table3[[#This Row],[Quantity Sold]]&lt;=500000, "Less Qty Sold", AND(Table3[[#This Row],[Quantity Sold]]&gt;500000, Table3[[#This Row],[Quantity Sold]]&lt;=1000000), "Medium Qty Sold", Table3[[#This Row],[Quantity Sold]]&gt;1000000, "High Qty Sold")</f>
        <v>High Qty Sold</v>
      </c>
    </row>
    <row r="37" spans="1:12" x14ac:dyDescent="0.3">
      <c r="A37" s="1">
        <v>36</v>
      </c>
      <c r="B37" s="10" t="s">
        <v>111</v>
      </c>
      <c r="C37" s="1" t="s">
        <v>118</v>
      </c>
      <c r="D37" s="1" t="s">
        <v>39</v>
      </c>
      <c r="E37" s="1" t="s">
        <v>18</v>
      </c>
      <c r="F37" s="1">
        <v>5000</v>
      </c>
      <c r="G37" s="1">
        <v>66999</v>
      </c>
      <c r="H37" s="1" t="s">
        <v>119</v>
      </c>
      <c r="I37" s="2">
        <v>44656</v>
      </c>
      <c r="J37" s="3">
        <v>911315</v>
      </c>
      <c r="K37" s="1" t="str" cm="1">
        <f t="array" ref="K37">_xlfn.IFS(Table3[[#This Row],[Price (INR)]]&lt;=35000,"Low end Mobile",Table3[[#This Row],[Price (INR)]]&gt;35000 =AND(Table3[[#This Row],[Price (INR)]]&lt;=65000),"Medium end Mobile",Table3[[#This Row],[Price (INR)]]&gt;65000,"High end Mobile")</f>
        <v>High end Mobile</v>
      </c>
      <c r="L37" s="16" t="str" cm="1">
        <f t="array" ref="L37">_xlfn.IFS(Table3[[#This Row],[Quantity Sold]]&lt;=500000, "Less Qty Sold", AND(Table3[[#This Row],[Quantity Sold]]&gt;500000, Table3[[#This Row],[Quantity Sold]]&lt;=1000000), "Medium Qty Sold", Table3[[#This Row],[Quantity Sold]]&gt;1000000, "High Qty Sold")</f>
        <v>Medium Qty Sold</v>
      </c>
    </row>
    <row r="38" spans="1:12" x14ac:dyDescent="0.3">
      <c r="A38" s="13">
        <v>37</v>
      </c>
      <c r="B38" s="10" t="s">
        <v>111</v>
      </c>
      <c r="C38" s="1" t="s">
        <v>120</v>
      </c>
      <c r="D38" s="1" t="s">
        <v>43</v>
      </c>
      <c r="E38" s="1" t="s">
        <v>40</v>
      </c>
      <c r="F38" s="1">
        <v>5000</v>
      </c>
      <c r="G38" s="1">
        <v>56999</v>
      </c>
      <c r="H38" s="1" t="s">
        <v>121</v>
      </c>
      <c r="I38" s="2">
        <v>44964</v>
      </c>
      <c r="J38" s="3">
        <v>3111337</v>
      </c>
      <c r="K38" s="1" t="str" cm="1">
        <f t="array" ref="K38">_xlfn.IFS(Table3[[#This Row],[Price (INR)]]&lt;=35000,"Low end Mobile",Table3[[#This Row],[Price (INR)]]&gt;35000 =AND(Table3[[#This Row],[Price (INR)]]&lt;=65000),"Medium end Mobile",Table3[[#This Row],[Price (INR)]]&gt;65000,"High end Mobile")</f>
        <v>Medium end Mobile</v>
      </c>
      <c r="L38" s="16" t="str" cm="1">
        <f t="array" ref="L38">_xlfn.IFS(Table3[[#This Row],[Quantity Sold]]&lt;=500000, "Less Qty Sold", AND(Table3[[#This Row],[Quantity Sold]]&gt;500000, Table3[[#This Row],[Quantity Sold]]&lt;=1000000), "Medium Qty Sold", Table3[[#This Row],[Quantity Sold]]&gt;1000000, "High Qty Sold")</f>
        <v>High Qty Sold</v>
      </c>
    </row>
    <row r="39" spans="1:12" x14ac:dyDescent="0.3">
      <c r="A39" s="1">
        <v>38</v>
      </c>
      <c r="B39" s="10" t="s">
        <v>111</v>
      </c>
      <c r="C39" s="1" t="s">
        <v>122</v>
      </c>
      <c r="D39" s="1" t="s">
        <v>47</v>
      </c>
      <c r="E39" s="1" t="s">
        <v>40</v>
      </c>
      <c r="F39" s="1">
        <v>5400</v>
      </c>
      <c r="G39" s="1">
        <v>64999</v>
      </c>
      <c r="H39" s="1" t="s">
        <v>123</v>
      </c>
      <c r="I39" s="2">
        <v>45314</v>
      </c>
      <c r="J39" s="3">
        <v>2985309</v>
      </c>
      <c r="K39" s="1" t="str" cm="1">
        <f t="array" ref="K39">_xlfn.IFS(Table3[[#This Row],[Price (INR)]]&lt;=35000,"Low end Mobile",Table3[[#This Row],[Price (INR)]]&gt;35000 =AND(Table3[[#This Row],[Price (INR)]]&lt;=65000),"Medium end Mobile",Table3[[#This Row],[Price (INR)]]&gt;65000,"High end Mobile")</f>
        <v>Medium end Mobile</v>
      </c>
      <c r="L39" s="16" t="str" cm="1">
        <f t="array" ref="L39">_xlfn.IFS(Table3[[#This Row],[Quantity Sold]]&lt;=500000, "Less Qty Sold", AND(Table3[[#This Row],[Quantity Sold]]&gt;500000, Table3[[#This Row],[Quantity Sold]]&lt;=1000000), "Medium Qty Sold", Table3[[#This Row],[Quantity Sold]]&gt;1000000, "High Qty Sold")</f>
        <v>High Qty Sold</v>
      </c>
    </row>
    <row r="40" spans="1:12" x14ac:dyDescent="0.3">
      <c r="A40" s="13">
        <v>39</v>
      </c>
      <c r="B40" s="10" t="s">
        <v>111</v>
      </c>
      <c r="C40" s="1" t="s">
        <v>124</v>
      </c>
      <c r="D40" s="1" t="s">
        <v>50</v>
      </c>
      <c r="E40" s="1" t="s">
        <v>40</v>
      </c>
      <c r="F40" s="1">
        <v>5500</v>
      </c>
      <c r="G40" s="1">
        <v>69999</v>
      </c>
      <c r="H40" s="1" t="s">
        <v>125</v>
      </c>
      <c r="I40" s="2">
        <v>45687</v>
      </c>
      <c r="J40" s="3">
        <v>2318961</v>
      </c>
      <c r="K40" s="1" t="str" cm="1">
        <f t="array" ref="K40">_xlfn.IFS(Table3[[#This Row],[Price (INR)]]&lt;=35000,"Low end Mobile",Table3[[#This Row],[Price (INR)]]&gt;35000 =AND(Table3[[#This Row],[Price (INR)]]&lt;=65000),"Medium end Mobile",Table3[[#This Row],[Price (INR)]]&gt;65000,"High end Mobile")</f>
        <v>High end Mobile</v>
      </c>
      <c r="L40" s="16" t="str" cm="1">
        <f t="array" ref="L40">_xlfn.IFS(Table3[[#This Row],[Quantity Sold]]&lt;=500000, "Less Qty Sold", AND(Table3[[#This Row],[Quantity Sold]]&gt;500000, Table3[[#This Row],[Quantity Sold]]&lt;=1000000), "Medium Qty Sold", Table3[[#This Row],[Quantity Sold]]&gt;1000000, "High Qty Sold")</f>
        <v>High Qty Sold</v>
      </c>
    </row>
    <row r="41" spans="1:12" x14ac:dyDescent="0.3">
      <c r="A41" s="1">
        <v>40</v>
      </c>
      <c r="B41" s="10" t="s">
        <v>111</v>
      </c>
      <c r="C41" s="1" t="s">
        <v>126</v>
      </c>
      <c r="D41" s="1" t="s">
        <v>53</v>
      </c>
      <c r="E41" s="1" t="s">
        <v>40</v>
      </c>
      <c r="F41" s="1">
        <v>5800</v>
      </c>
      <c r="G41" s="1">
        <v>74999</v>
      </c>
      <c r="H41" s="1" t="s">
        <v>127</v>
      </c>
      <c r="I41" s="2">
        <v>46068</v>
      </c>
      <c r="J41" s="3">
        <v>464488</v>
      </c>
      <c r="K41" s="1" t="str" cm="1">
        <f t="array" ref="K41">_xlfn.IFS(Table3[[#This Row],[Price (INR)]]&lt;=35000,"Low end Mobile",Table3[[#This Row],[Price (INR)]]&gt;35000 =AND(Table3[[#This Row],[Price (INR)]]&lt;=65000),"Medium end Mobile",Table3[[#This Row],[Price (INR)]]&gt;65000,"High end Mobile")</f>
        <v>High end Mobile</v>
      </c>
      <c r="L41" s="16" t="str" cm="1">
        <f t="array" ref="L41">_xlfn.IFS(Table3[[#This Row],[Quantity Sold]]&lt;=500000, "Less Qty Sold", AND(Table3[[#This Row],[Quantity Sold]]&gt;500000, Table3[[#This Row],[Quantity Sold]]&lt;=1000000), "Medium Qty Sold", Table3[[#This Row],[Quantity Sold]]&gt;1000000, "High Qty Sold")</f>
        <v>Less Qty Sold</v>
      </c>
    </row>
    <row r="42" spans="1:12" x14ac:dyDescent="0.3">
      <c r="A42" s="13">
        <v>41</v>
      </c>
      <c r="B42" s="10" t="s">
        <v>128</v>
      </c>
      <c r="C42" s="1" t="s">
        <v>129</v>
      </c>
      <c r="D42" s="1" t="s">
        <v>130</v>
      </c>
      <c r="E42" s="1" t="s">
        <v>131</v>
      </c>
      <c r="F42" s="1">
        <v>4450</v>
      </c>
      <c r="G42" s="1">
        <v>46990</v>
      </c>
      <c r="H42" s="1" t="s">
        <v>132</v>
      </c>
      <c r="I42" s="2">
        <v>44469</v>
      </c>
      <c r="J42" s="3">
        <v>3953935</v>
      </c>
      <c r="K42" s="1" t="str" cm="1">
        <f t="array" ref="K42">_xlfn.IFS(Table3[[#This Row],[Price (INR)]]&lt;=35000,"Low end Mobile",Table3[[#This Row],[Price (INR)]]&gt;35000 =AND(Table3[[#This Row],[Price (INR)]]&lt;=65000),"Medium end Mobile",Table3[[#This Row],[Price (INR)]]&gt;65000,"High end Mobile")</f>
        <v>Medium end Mobile</v>
      </c>
      <c r="L42" s="16" t="str" cm="1">
        <f t="array" ref="L42">_xlfn.IFS(Table3[[#This Row],[Quantity Sold]]&lt;=500000, "Less Qty Sold", AND(Table3[[#This Row],[Quantity Sold]]&gt;500000, Table3[[#This Row],[Quantity Sold]]&lt;=1000000), "Medium Qty Sold", Table3[[#This Row],[Quantity Sold]]&gt;1000000, "High Qty Sold")</f>
        <v>High Qty Sold</v>
      </c>
    </row>
    <row r="43" spans="1:12" x14ac:dyDescent="0.3">
      <c r="A43" s="1">
        <v>42</v>
      </c>
      <c r="B43" s="10" t="s">
        <v>128</v>
      </c>
      <c r="C43" s="1" t="s">
        <v>133</v>
      </c>
      <c r="D43" s="1" t="s">
        <v>39</v>
      </c>
      <c r="E43" s="1" t="s">
        <v>131</v>
      </c>
      <c r="F43" s="1">
        <v>4700</v>
      </c>
      <c r="G43" s="1">
        <v>79999</v>
      </c>
      <c r="H43" s="1" t="s">
        <v>134</v>
      </c>
      <c r="I43" s="2">
        <v>44699</v>
      </c>
      <c r="J43" s="3">
        <v>4598207</v>
      </c>
      <c r="K43" s="1" t="str" cm="1">
        <f t="array" ref="K43">_xlfn.IFS(Table3[[#This Row],[Price (INR)]]&lt;=35000,"Low end Mobile",Table3[[#This Row],[Price (INR)]]&gt;35000 =AND(Table3[[#This Row],[Price (INR)]]&lt;=65000),"Medium end Mobile",Table3[[#This Row],[Price (INR)]]&gt;65000,"High end Mobile")</f>
        <v>High end Mobile</v>
      </c>
      <c r="L43" s="16" t="str" cm="1">
        <f t="array" ref="L43">_xlfn.IFS(Table3[[#This Row],[Quantity Sold]]&lt;=500000, "Less Qty Sold", AND(Table3[[#This Row],[Quantity Sold]]&gt;500000, Table3[[#This Row],[Quantity Sold]]&lt;=1000000), "Medium Qty Sold", Table3[[#This Row],[Quantity Sold]]&gt;1000000, "High Qty Sold")</f>
        <v>High Qty Sold</v>
      </c>
    </row>
    <row r="44" spans="1:12" x14ac:dyDescent="0.3">
      <c r="A44" s="13">
        <v>43</v>
      </c>
      <c r="B44" s="10" t="s">
        <v>128</v>
      </c>
      <c r="C44" s="1" t="s">
        <v>135</v>
      </c>
      <c r="D44" s="1" t="s">
        <v>136</v>
      </c>
      <c r="E44" s="1" t="s">
        <v>40</v>
      </c>
      <c r="F44" s="1">
        <v>4870</v>
      </c>
      <c r="G44" s="1">
        <v>84999</v>
      </c>
      <c r="H44" s="1" t="s">
        <v>137</v>
      </c>
      <c r="I44" s="2">
        <v>45042</v>
      </c>
      <c r="J44" s="3">
        <v>1147117</v>
      </c>
      <c r="K44" s="1" t="str" cm="1">
        <f t="array" ref="K44">_xlfn.IFS(Table3[[#This Row],[Price (INR)]]&lt;=35000,"Low end Mobile",Table3[[#This Row],[Price (INR)]]&gt;35000 =AND(Table3[[#This Row],[Price (INR)]]&lt;=65000),"Medium end Mobile",Table3[[#This Row],[Price (INR)]]&gt;65000,"High end Mobile")</f>
        <v>High end Mobile</v>
      </c>
      <c r="L44" s="16" t="str" cm="1">
        <f t="array" ref="L44">_xlfn.IFS(Table3[[#This Row],[Quantity Sold]]&lt;=500000, "Less Qty Sold", AND(Table3[[#This Row],[Quantity Sold]]&gt;500000, Table3[[#This Row],[Quantity Sold]]&lt;=1000000), "Medium Qty Sold", Table3[[#This Row],[Quantity Sold]]&gt;1000000, "High Qty Sold")</f>
        <v>High Qty Sold</v>
      </c>
    </row>
    <row r="45" spans="1:12" x14ac:dyDescent="0.3">
      <c r="A45" s="1">
        <v>44</v>
      </c>
      <c r="B45" s="10" t="s">
        <v>128</v>
      </c>
      <c r="C45" s="1" t="s">
        <v>138</v>
      </c>
      <c r="D45" s="1" t="s">
        <v>139</v>
      </c>
      <c r="E45" s="1" t="s">
        <v>40</v>
      </c>
      <c r="F45" s="1">
        <v>5400</v>
      </c>
      <c r="G45" s="1">
        <v>89999</v>
      </c>
      <c r="H45" s="1" t="s">
        <v>140</v>
      </c>
      <c r="I45" s="2">
        <v>45295</v>
      </c>
      <c r="J45" s="3">
        <v>3275376</v>
      </c>
      <c r="K45" s="1" t="str" cm="1">
        <f t="array" ref="K45">_xlfn.IFS(Table3[[#This Row],[Price (INR)]]&lt;=35000,"Low end Mobile",Table3[[#This Row],[Price (INR)]]&gt;35000 =AND(Table3[[#This Row],[Price (INR)]]&lt;=65000),"Medium end Mobile",Table3[[#This Row],[Price (INR)]]&gt;65000,"High end Mobile")</f>
        <v>High end Mobile</v>
      </c>
      <c r="L45" s="16" t="str" cm="1">
        <f t="array" ref="L45">_xlfn.IFS(Table3[[#This Row],[Quantity Sold]]&lt;=500000, "Less Qty Sold", AND(Table3[[#This Row],[Quantity Sold]]&gt;500000, Table3[[#This Row],[Quantity Sold]]&lt;=1000000), "Medium Qty Sold", Table3[[#This Row],[Quantity Sold]]&gt;1000000, "High Qty Sold")</f>
        <v>High Qty Sold</v>
      </c>
    </row>
    <row r="46" spans="1:12" x14ac:dyDescent="0.3">
      <c r="A46" s="13">
        <v>45</v>
      </c>
      <c r="B46" s="10" t="s">
        <v>128</v>
      </c>
      <c r="C46" s="1" t="s">
        <v>141</v>
      </c>
      <c r="D46" s="1" t="s">
        <v>142</v>
      </c>
      <c r="E46" s="1" t="s">
        <v>40</v>
      </c>
      <c r="F46" s="1">
        <v>5500</v>
      </c>
      <c r="G46" s="1">
        <v>94999</v>
      </c>
      <c r="H46" s="1" t="s">
        <v>143</v>
      </c>
      <c r="I46" s="2">
        <v>45726</v>
      </c>
      <c r="J46" s="3">
        <v>761023</v>
      </c>
      <c r="K46" s="1" t="str" cm="1">
        <f t="array" ref="K46">_xlfn.IFS(Table3[[#This Row],[Price (INR)]]&lt;=35000,"Low end Mobile",Table3[[#This Row],[Price (INR)]]&gt;35000 =AND(Table3[[#This Row],[Price (INR)]]&lt;=65000),"Medium end Mobile",Table3[[#This Row],[Price (INR)]]&gt;65000,"High end Mobile")</f>
        <v>High end Mobile</v>
      </c>
      <c r="L46" s="16" t="str" cm="1">
        <f t="array" ref="L46">_xlfn.IFS(Table3[[#This Row],[Quantity Sold]]&lt;=500000, "Less Qty Sold", AND(Table3[[#This Row],[Quantity Sold]]&gt;500000, Table3[[#This Row],[Quantity Sold]]&lt;=1000000), "Medium Qty Sold", Table3[[#This Row],[Quantity Sold]]&gt;1000000, "High Qty Sold")</f>
        <v>Medium Qty Sold</v>
      </c>
    </row>
    <row r="47" spans="1:12" x14ac:dyDescent="0.3">
      <c r="A47" s="1">
        <v>46</v>
      </c>
      <c r="B47" s="10" t="s">
        <v>144</v>
      </c>
      <c r="C47" s="1" t="s">
        <v>145</v>
      </c>
      <c r="D47" s="1" t="s">
        <v>130</v>
      </c>
      <c r="E47" s="1" t="s">
        <v>72</v>
      </c>
      <c r="F47" s="1">
        <v>4500</v>
      </c>
      <c r="G47" s="1">
        <v>39990</v>
      </c>
      <c r="H47" s="1" t="s">
        <v>146</v>
      </c>
      <c r="I47" s="2">
        <v>44397</v>
      </c>
      <c r="J47" s="3">
        <v>4730852</v>
      </c>
      <c r="K47" s="1" t="str" cm="1">
        <f t="array" ref="K47">_xlfn.IFS(Table3[[#This Row],[Price (INR)]]&lt;=35000,"Low end Mobile",Table3[[#This Row],[Price (INR)]]&gt;35000 =AND(Table3[[#This Row],[Price (INR)]]&lt;=65000),"Medium end Mobile",Table3[[#This Row],[Price (INR)]]&gt;65000,"High end Mobile")</f>
        <v>Medium end Mobile</v>
      </c>
      <c r="L47" s="16" t="str" cm="1">
        <f t="array" ref="L47">_xlfn.IFS(Table3[[#This Row],[Quantity Sold]]&lt;=500000, "Less Qty Sold", AND(Table3[[#This Row],[Quantity Sold]]&gt;500000, Table3[[#This Row],[Quantity Sold]]&lt;=1000000), "Medium Qty Sold", Table3[[#This Row],[Quantity Sold]]&gt;1000000, "High Qty Sold")</f>
        <v>High Qty Sold</v>
      </c>
    </row>
    <row r="48" spans="1:12" x14ac:dyDescent="0.3">
      <c r="A48" s="13">
        <v>47</v>
      </c>
      <c r="B48" s="10" t="s">
        <v>144</v>
      </c>
      <c r="C48" s="1" t="s">
        <v>147</v>
      </c>
      <c r="D48" s="1" t="s">
        <v>148</v>
      </c>
      <c r="E48" s="1" t="s">
        <v>40</v>
      </c>
      <c r="F48" s="1">
        <v>4500</v>
      </c>
      <c r="G48" s="1">
        <v>45999</v>
      </c>
      <c r="H48" s="1" t="s">
        <v>149</v>
      </c>
      <c r="I48" s="2">
        <v>44760</v>
      </c>
      <c r="J48" s="3">
        <v>2559357</v>
      </c>
      <c r="K48" s="1" t="str" cm="1">
        <f t="array" ref="K48">_xlfn.IFS(Table3[[#This Row],[Price (INR)]]&lt;=35000,"Low end Mobile",Table3[[#This Row],[Price (INR)]]&gt;35000 =AND(Table3[[#This Row],[Price (INR)]]&lt;=65000),"Medium end Mobile",Table3[[#This Row],[Price (INR)]]&gt;65000,"High end Mobile")</f>
        <v>Medium end Mobile</v>
      </c>
      <c r="L48" s="16" t="str" cm="1">
        <f t="array" ref="L48">_xlfn.IFS(Table3[[#This Row],[Quantity Sold]]&lt;=500000, "Less Qty Sold", AND(Table3[[#This Row],[Quantity Sold]]&gt;500000, Table3[[#This Row],[Quantity Sold]]&lt;=1000000), "Medium Qty Sold", Table3[[#This Row],[Quantity Sold]]&gt;1000000, "High Qty Sold")</f>
        <v>High Qty Sold</v>
      </c>
    </row>
    <row r="49" spans="1:12" x14ac:dyDescent="0.3">
      <c r="A49" s="1">
        <v>48</v>
      </c>
      <c r="B49" s="10" t="s">
        <v>144</v>
      </c>
      <c r="C49" s="1" t="s">
        <v>150</v>
      </c>
      <c r="D49" s="1" t="s">
        <v>151</v>
      </c>
      <c r="E49" s="1" t="s">
        <v>65</v>
      </c>
      <c r="F49" s="1">
        <v>4300</v>
      </c>
      <c r="G49" s="1">
        <v>89999</v>
      </c>
      <c r="H49" s="1" t="s">
        <v>152</v>
      </c>
      <c r="I49" s="2">
        <v>45002</v>
      </c>
      <c r="J49" s="3">
        <v>3133614</v>
      </c>
      <c r="K49" s="1" t="str" cm="1">
        <f t="array" ref="K49">_xlfn.IFS(Table3[[#This Row],[Price (INR)]]&lt;=35000,"Low end Mobile",Table3[[#This Row],[Price (INR)]]&gt;35000 =AND(Table3[[#This Row],[Price (INR)]]&lt;=65000),"Medium end Mobile",Table3[[#This Row],[Price (INR)]]&gt;65000,"High end Mobile")</f>
        <v>High end Mobile</v>
      </c>
      <c r="L49" s="16" t="str" cm="1">
        <f t="array" ref="L49">_xlfn.IFS(Table3[[#This Row],[Quantity Sold]]&lt;=500000, "Less Qty Sold", AND(Table3[[#This Row],[Quantity Sold]]&gt;500000, Table3[[#This Row],[Quantity Sold]]&lt;=1000000), "Medium Qty Sold", Table3[[#This Row],[Quantity Sold]]&gt;1000000, "High Qty Sold")</f>
        <v>High Qty Sold</v>
      </c>
    </row>
    <row r="50" spans="1:12" x14ac:dyDescent="0.3">
      <c r="A50" s="13">
        <v>49</v>
      </c>
      <c r="B50" s="10" t="s">
        <v>144</v>
      </c>
      <c r="C50" s="1" t="s">
        <v>153</v>
      </c>
      <c r="D50" s="1" t="s">
        <v>47</v>
      </c>
      <c r="E50" s="1" t="s">
        <v>131</v>
      </c>
      <c r="F50" s="1">
        <v>5000</v>
      </c>
      <c r="G50" s="1">
        <v>99999</v>
      </c>
      <c r="H50" s="1" t="s">
        <v>154</v>
      </c>
      <c r="I50" s="2">
        <v>45303</v>
      </c>
      <c r="J50" s="3">
        <v>4943180</v>
      </c>
      <c r="K50" s="1" t="str" cm="1">
        <f t="array" ref="K50">_xlfn.IFS(Table3[[#This Row],[Price (INR)]]&lt;=35000,"Low end Mobile",Table3[[#This Row],[Price (INR)]]&gt;35000 =AND(Table3[[#This Row],[Price (INR)]]&lt;=65000),"Medium end Mobile",Table3[[#This Row],[Price (INR)]]&gt;65000,"High end Mobile")</f>
        <v>High end Mobile</v>
      </c>
      <c r="L50" s="16" t="str" cm="1">
        <f t="array" ref="L50">_xlfn.IFS(Table3[[#This Row],[Quantity Sold]]&lt;=500000, "Less Qty Sold", AND(Table3[[#This Row],[Quantity Sold]]&gt;500000, Table3[[#This Row],[Quantity Sold]]&lt;=1000000), "Medium Qty Sold", Table3[[#This Row],[Quantity Sold]]&gt;1000000, "High Qty Sold")</f>
        <v>High Qty Sold</v>
      </c>
    </row>
    <row r="51" spans="1:12" x14ac:dyDescent="0.3">
      <c r="A51" s="1">
        <v>50</v>
      </c>
      <c r="B51" s="11" t="s">
        <v>155</v>
      </c>
      <c r="C51" s="4" t="s">
        <v>156</v>
      </c>
      <c r="D51" s="4" t="s">
        <v>39</v>
      </c>
      <c r="E51" s="4" t="s">
        <v>40</v>
      </c>
      <c r="F51" s="4">
        <v>5000</v>
      </c>
      <c r="G51" s="4">
        <v>49999</v>
      </c>
      <c r="H51" s="4" t="s">
        <v>157</v>
      </c>
      <c r="I51" s="5">
        <v>44658</v>
      </c>
      <c r="J51" s="6">
        <v>1713033</v>
      </c>
      <c r="K51" s="4" t="str" cm="1">
        <f t="array" ref="K51">_xlfn.IFS(Table3[[#This Row],[Price (INR)]]&lt;=35000,"Low end Mobile",Table3[[#This Row],[Price (INR)]]&gt;35000 =AND(Table3[[#This Row],[Price (INR)]]&lt;=65000),"Medium end Mobile",Table3[[#This Row],[Price (INR)]]&gt;65000,"High end Mobile")</f>
        <v>Medium end Mobile</v>
      </c>
      <c r="L51" s="16" t="str" cm="1">
        <f t="array" ref="L51">_xlfn.IFS(Table3[[#This Row],[Quantity Sold]]&lt;=500000, "Less Qty Sold", AND(Table3[[#This Row],[Quantity Sold]]&gt;500000, Table3[[#This Row],[Quantity Sold]]&lt;=1000000), "Medium Qty Sold", Table3[[#This Row],[Quantity Sold]]&gt;1000000, "High Qty Sold")</f>
        <v>High Qty Sold</v>
      </c>
    </row>
  </sheetData>
  <autoFilter ref="A1:A51" xr:uid="{FD4EDC98-EA4D-4442-8116-F20419E4AB04}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Kumar</dc:creator>
  <cp:lastModifiedBy>Harsha Kumar</cp:lastModifiedBy>
  <dcterms:created xsi:type="dcterms:W3CDTF">2026-05-25T09:50:12Z</dcterms:created>
  <dcterms:modified xsi:type="dcterms:W3CDTF">2026-05-25T15:03:44Z</dcterms:modified>
</cp:coreProperties>
</file>