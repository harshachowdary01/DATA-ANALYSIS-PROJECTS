
<file path=[Content_Types].xml><?xml version="1.0" encoding="utf-8"?>
<Types xmlns="http://schemas.openxmlformats.org/package/2006/content-type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harsh\OneDrive\Desktop\"/>
    </mc:Choice>
  </mc:AlternateContent>
  <xr:revisionPtr revIDLastSave="0" documentId="8_{12E1F4AF-4873-47EF-A4CC-5845482997C2}" xr6:coauthVersionLast="47" xr6:coauthVersionMax="47" xr10:uidLastSave="{00000000-0000-0000-0000-000000000000}"/>
  <bookViews>
    <workbookView xWindow="-108" yWindow="-108" windowWidth="23256" windowHeight="13176" activeTab="4" xr2:uid="{00000000-000D-0000-FFFF-FFFF00000000}"/>
  </bookViews>
  <sheets>
    <sheet name="Sales Table" sheetId="3" r:id="rId1"/>
    <sheet name="Sales Pivot" sheetId="5" r:id="rId2"/>
    <sheet name="Dashboard" sheetId="6" r:id="rId3"/>
    <sheet name="Methodology" sheetId="19" r:id="rId4"/>
    <sheet name="Report" sheetId="18" r:id="rId5"/>
  </sheets>
  <definedNames>
    <definedName name="_xlchart.v1.0" hidden="1">'Sales Pivot'!$K$19:$K$28</definedName>
    <definedName name="_xlchart.v1.1" hidden="1">'Sales Pivot'!$L$18</definedName>
    <definedName name="_xlchart.v1.2" hidden="1">'Sales Pivot'!$L$19:$L$28</definedName>
    <definedName name="_xlcn.WorksheetConnection_ElectronicsSalesData2025.xlsxTable31" hidden="1">Table3[]</definedName>
    <definedName name="Slicer_Branch">#N/A</definedName>
    <definedName name="Slicer_Gender">#N/A</definedName>
    <definedName name="Slicer_Product_Line">#N/A</definedName>
  </definedNames>
  <calcPr calcId="191029"/>
  <pivotCaches>
    <pivotCache cacheId="0" r:id="rId6"/>
    <pivotCache cacheId="1" r:id="rId7"/>
  </pivotCaches>
  <extLst>
    <ext xmlns:x14="http://schemas.microsoft.com/office/spreadsheetml/2009/9/main" uri="{876F7934-8845-4945-9796-88D515C7AA90}">
      <x14:pivotCaches>
        <pivotCache cacheId="2" r:id="rId8"/>
      </x14:pivotCaches>
    </ex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3" name="Table3" connection="WorksheetConnection_Electronics Sales Data 2025.xlsx!Table3"/>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0" i="3" l="1"/>
  <c r="L10" i="3" s="1"/>
  <c r="K11" i="3"/>
  <c r="L11" i="3" s="1"/>
  <c r="K12" i="3"/>
  <c r="L12" i="3" s="1"/>
  <c r="K13" i="3"/>
  <c r="L13" i="3" s="1"/>
  <c r="K14" i="3"/>
  <c r="L14" i="3" s="1"/>
  <c r="K15" i="3"/>
  <c r="L15" i="3" s="1"/>
  <c r="K16" i="3"/>
  <c r="L16" i="3" s="1"/>
  <c r="K17" i="3"/>
  <c r="K26" i="3"/>
  <c r="L26" i="3" s="1"/>
  <c r="K27" i="3"/>
  <c r="L27" i="3" s="1"/>
  <c r="K28" i="3"/>
  <c r="L28" i="3" s="1"/>
  <c r="K29" i="3"/>
  <c r="L29" i="3" s="1"/>
  <c r="K30" i="3"/>
  <c r="L30" i="3" s="1"/>
  <c r="K31" i="3"/>
  <c r="L31" i="3" s="1"/>
  <c r="K32" i="3"/>
  <c r="L32" i="3" s="1"/>
  <c r="M32" i="3" s="1"/>
  <c r="K33" i="3"/>
  <c r="K2" i="3"/>
  <c r="L2" i="3" s="1"/>
  <c r="J3" i="3"/>
  <c r="K3" i="3" s="1"/>
  <c r="J4" i="3"/>
  <c r="K4" i="3" s="1"/>
  <c r="J5" i="3"/>
  <c r="K5" i="3" s="1"/>
  <c r="J6" i="3"/>
  <c r="K6" i="3" s="1"/>
  <c r="J7" i="3"/>
  <c r="K7" i="3" s="1"/>
  <c r="J8" i="3"/>
  <c r="K8" i="3" s="1"/>
  <c r="J9" i="3"/>
  <c r="K9" i="3" s="1"/>
  <c r="J10" i="3"/>
  <c r="J11" i="3"/>
  <c r="J12" i="3"/>
  <c r="J13" i="3"/>
  <c r="J14" i="3"/>
  <c r="J15" i="3"/>
  <c r="J16" i="3"/>
  <c r="J17" i="3"/>
  <c r="J18" i="3"/>
  <c r="K18" i="3" s="1"/>
  <c r="J19" i="3"/>
  <c r="K19" i="3" s="1"/>
  <c r="J20" i="3"/>
  <c r="K20" i="3" s="1"/>
  <c r="J21" i="3"/>
  <c r="K21" i="3" s="1"/>
  <c r="J22" i="3"/>
  <c r="K22" i="3" s="1"/>
  <c r="J23" i="3"/>
  <c r="K23" i="3" s="1"/>
  <c r="J24" i="3"/>
  <c r="K24" i="3" s="1"/>
  <c r="J25" i="3"/>
  <c r="K25" i="3" s="1"/>
  <c r="J26" i="3"/>
  <c r="J27" i="3"/>
  <c r="J28" i="3"/>
  <c r="J29" i="3"/>
  <c r="J30" i="3"/>
  <c r="J31" i="3"/>
  <c r="J32" i="3"/>
  <c r="J33" i="3"/>
  <c r="J34" i="3"/>
  <c r="K34" i="3" s="1"/>
  <c r="J35" i="3"/>
  <c r="K35" i="3" s="1"/>
  <c r="J36" i="3"/>
  <c r="K36" i="3" s="1"/>
  <c r="J37" i="3"/>
  <c r="K37" i="3" s="1"/>
  <c r="J38" i="3"/>
  <c r="K38" i="3" s="1"/>
  <c r="J39" i="3"/>
  <c r="K39" i="3" s="1"/>
  <c r="J40" i="3"/>
  <c r="K40" i="3" s="1"/>
  <c r="J41" i="3"/>
  <c r="K41" i="3" s="1"/>
  <c r="J2" i="3"/>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2" i="3"/>
  <c r="L39" i="3" l="1"/>
  <c r="M39" i="3" s="1"/>
  <c r="L25" i="3"/>
  <c r="M25" i="3" s="1"/>
  <c r="L40" i="3"/>
  <c r="M40" i="3" s="1"/>
  <c r="L8" i="3"/>
  <c r="M8" i="3" s="1"/>
  <c r="L7" i="3"/>
  <c r="M7" i="3" s="1"/>
  <c r="L22" i="3"/>
  <c r="M22" i="3" s="1"/>
  <c r="L41" i="3"/>
  <c r="M41" i="3"/>
  <c r="L9" i="3"/>
  <c r="M9" i="3" s="1"/>
  <c r="L24" i="3"/>
  <c r="M24" i="3" s="1"/>
  <c r="L23" i="3"/>
  <c r="M23" i="3" s="1"/>
  <c r="L38" i="3"/>
  <c r="M38" i="3" s="1"/>
  <c r="L6" i="3"/>
  <c r="M6" i="3" s="1"/>
  <c r="L37" i="3"/>
  <c r="M37" i="3" s="1"/>
  <c r="L21" i="3"/>
  <c r="M21" i="3" s="1"/>
  <c r="L5" i="3"/>
  <c r="M5" i="3" s="1"/>
  <c r="M36" i="3"/>
  <c r="L36" i="3"/>
  <c r="L20" i="3"/>
  <c r="M20" i="3" s="1"/>
  <c r="L4" i="3"/>
  <c r="M4" i="3" s="1"/>
  <c r="L35" i="3"/>
  <c r="M35" i="3" s="1"/>
  <c r="L19" i="3"/>
  <c r="M19" i="3" s="1"/>
  <c r="L3" i="3"/>
  <c r="M3" i="3" s="1"/>
  <c r="L34" i="3"/>
  <c r="M34" i="3" s="1"/>
  <c r="L18" i="3"/>
  <c r="M18" i="3" s="1"/>
  <c r="M33" i="3"/>
  <c r="M16" i="3"/>
  <c r="M31" i="3"/>
  <c r="M15" i="3"/>
  <c r="M29" i="3"/>
  <c r="M13" i="3"/>
  <c r="M28" i="3"/>
  <c r="M12" i="3"/>
  <c r="M27" i="3"/>
  <c r="M11" i="3"/>
  <c r="M30" i="3"/>
  <c r="L33" i="3"/>
  <c r="L17" i="3"/>
  <c r="M17" i="3" s="1"/>
  <c r="M26" i="3"/>
  <c r="M2" i="3"/>
  <c r="M14" i="3"/>
  <c r="M10"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E0AE141-3238-4E07-B253-A70219ADB88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404948D-C8CF-4324-9CD6-38ECA18FE00F}" name="WorksheetConnection_Electronics Sales Data 2025.xlsx!Table3" type="102" refreshedVersion="8" minRefreshableVersion="5">
    <extLst>
      <ext xmlns:x15="http://schemas.microsoft.com/office/spreadsheetml/2010/11/main" uri="{DE250136-89BD-433C-8126-D09CA5730AF9}">
        <x15:connection id="Table3" autoDelete="1">
          <x15:rangePr sourceName="_xlcn.WorksheetConnection_ElectronicsSalesData2025.xlsxTable3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4">
    <s v="ThisWorkbookDataModel"/>
    <s v="{[Table3].[Gender].[All]}"/>
    <s v="{[Table3].[Payment Method].&amp;[Cash]}"/>
    <s v="{[Table3].[Month].&amp;[1900-01-06T00:00:00]}"/>
  </metadataStrings>
  <mdxMetadata count="3">
    <mdx n="0" f="s">
      <ms ns="1" c="0"/>
    </mdx>
    <mdx n="0" f="s">
      <ms ns="2" c="0"/>
    </mdx>
    <mdx n="0" f="s">
      <ms ns="3" c="0"/>
    </mdx>
  </mdxMetadata>
  <valueMetadata count="3">
    <bk>
      <rc t="1" v="0"/>
    </bk>
    <bk>
      <rc t="1" v="1"/>
    </bk>
    <bk>
      <rc t="1" v="2"/>
    </bk>
  </valueMetadata>
</metadata>
</file>

<file path=xl/sharedStrings.xml><?xml version="1.0" encoding="utf-8"?>
<sst xmlns="http://schemas.openxmlformats.org/spreadsheetml/2006/main" count="332" uniqueCount="77">
  <si>
    <t>Electronics</t>
  </si>
  <si>
    <t>Date</t>
  </si>
  <si>
    <t>Invoice ID</t>
  </si>
  <si>
    <t>Year</t>
  </si>
  <si>
    <t>Month</t>
  </si>
  <si>
    <t>Branch</t>
  </si>
  <si>
    <t>Product Line</t>
  </si>
  <si>
    <t>Unit Price</t>
  </si>
  <si>
    <t>Quantity</t>
  </si>
  <si>
    <t>Tax (5%)</t>
  </si>
  <si>
    <t>Total Revenue</t>
  </si>
  <si>
    <t>Costs of Goods Sold</t>
  </si>
  <si>
    <t>Gross Profit</t>
  </si>
  <si>
    <t>Payment Method</t>
  </si>
  <si>
    <t>Branch A</t>
  </si>
  <si>
    <t>Branch B</t>
  </si>
  <si>
    <t>Branch C</t>
  </si>
  <si>
    <t>Gender</t>
  </si>
  <si>
    <t>Male</t>
  </si>
  <si>
    <t>Female</t>
  </si>
  <si>
    <t>Grocery</t>
  </si>
  <si>
    <t>Food</t>
  </si>
  <si>
    <t>Clothing</t>
  </si>
  <si>
    <t>Bathing</t>
  </si>
  <si>
    <t>Plastics</t>
  </si>
  <si>
    <t>Furniture</t>
  </si>
  <si>
    <t>UPI</t>
  </si>
  <si>
    <t>Debit Card</t>
  </si>
  <si>
    <t>Credit Card</t>
  </si>
  <si>
    <t>Cash</t>
  </si>
  <si>
    <t>Sum of Tax (5%)</t>
  </si>
  <si>
    <t>Sum of Total Revenue</t>
  </si>
  <si>
    <t>Sum of Costs of Goods Sold</t>
  </si>
  <si>
    <t>Sum of Gross Profit</t>
  </si>
  <si>
    <t>All</t>
  </si>
  <si>
    <t>Column Labels</t>
  </si>
  <si>
    <t>Total Sum of Tax (5%)</t>
  </si>
  <si>
    <t>Total Sum of Total Revenue</t>
  </si>
  <si>
    <t>Total Sum of Gross Profit</t>
  </si>
  <si>
    <t>Total Sum of Costs of Goods Sold</t>
  </si>
  <si>
    <t>Row Labels</t>
  </si>
  <si>
    <t>Grand Total</t>
  </si>
  <si>
    <t>Sum of Quantity</t>
  </si>
  <si>
    <t>(All)</t>
  </si>
  <si>
    <t>1/6/1900</t>
  </si>
  <si>
    <t>PROJECT PERFORMANCE REPORT: SUPERMARKET SALES ANALYSIS</t>
  </si>
  <si>
    <t>An evaluation of product performance reveals a stark contrast between sales volume (units sold) and top-line revenue generation:</t>
  </si>
  <si>
    <t>Geographical analysis reveals unbalanced market penetration across the enterprise footprint:</t>
  </si>
  <si>
    <t>[Raw Sales Data] ──&gt; [Pivot Tables (Engine)] ──&gt; [Pivot Charts (UI Canvas)]</t>
  </si>
  <si>
    <t>Based on the dashboard trends, the following data-backed actions are proposed for management:</t>
  </si>
  <si>
    <t>Column1</t>
  </si>
  <si>
    <t>1. Executive Summary:</t>
  </si>
  <si>
    <t>The developed Excel dashboard visualizes multi-branch transactional performance over a specified fiscal period.</t>
  </si>
  <si>
    <t>Initial analysis reveals a highly centralized revenue model where a single high-value product line (Furniture) anchors profitability, despite lower sales volumes.</t>
  </si>
  <si>
    <t>Operationally, a severe performance disparity exists between geographical hubs, with Branch B operating as the primary market driver and Branch A presenting significant revenue stagnation.</t>
  </si>
  <si>
    <t>2. Core Financial Data Insights:</t>
  </si>
  <si>
    <t>A. Product Line Velocity &amp; Volume Paradox:</t>
  </si>
  <si>
    <t>However, their cumulative financial footprint remains minimal due to lower base unit pricing.</t>
  </si>
  <si>
    <r>
      <rPr>
        <i/>
        <u/>
        <sz val="10"/>
        <color rgb="FF000000"/>
        <rFont val="Arial"/>
        <family val="2"/>
        <scheme val="minor"/>
      </rPr>
      <t>High-Volume, Low-Value Retention:</t>
    </r>
    <r>
      <rPr>
        <sz val="10"/>
        <color rgb="FF000000"/>
        <rFont val="Arial"/>
        <family val="2"/>
        <scheme val="minor"/>
      </rPr>
      <t xml:space="preserve"> Categories such as Clothing, Plastics, and Bathing lead inventory velocity, moving peak volumes of 15 to 18 units each.</t>
    </r>
  </si>
  <si>
    <r>
      <rPr>
        <i/>
        <u/>
        <sz val="10"/>
        <color rgb="FF000000"/>
        <rFont val="Arial"/>
        <family val="2"/>
        <scheme val="minor"/>
      </rPr>
      <t>Low-Volume, High-Value Dominance:</t>
    </r>
    <r>
      <rPr>
        <sz val="10"/>
        <color rgb="FF000000"/>
        <rFont val="Arial"/>
        <scheme val="minor"/>
      </rPr>
      <t xml:space="preserve"> Conversely, the Furniture line registered a lower volume layout (9 units), yet generated an exponential revenue surge to $652,500.</t>
    </r>
  </si>
  <si>
    <t>B. Regional Revenue Distribution:</t>
  </si>
  <si>
    <r>
      <rPr>
        <i/>
        <u/>
        <sz val="10"/>
        <color rgb="FF000000"/>
        <rFont val="Arial"/>
        <family val="2"/>
        <scheme val="minor"/>
      </rPr>
      <t>Branch B (Market Leader):</t>
    </r>
    <r>
      <rPr>
        <sz val="10"/>
        <color rgb="FF000000"/>
        <rFont val="Arial"/>
        <scheme val="minor"/>
      </rPr>
      <t xml:space="preserve"> Commands top performance, yielding $497,772.50 in revenue.</t>
    </r>
  </si>
  <si>
    <r>
      <rPr>
        <i/>
        <u/>
        <sz val="10"/>
        <color rgb="FF000000"/>
        <rFont val="Arial"/>
        <family val="2"/>
        <scheme val="minor"/>
      </rPr>
      <t xml:space="preserve">Branch C (Stable Performer): </t>
    </r>
    <r>
      <rPr>
        <sz val="10"/>
        <color rgb="FF000000"/>
        <rFont val="Arial"/>
        <family val="2"/>
        <scheme val="minor"/>
      </rPr>
      <t>Demonstrates healthy market traction, contributing $305,580.00.</t>
    </r>
  </si>
  <si>
    <r>
      <rPr>
        <i/>
        <u/>
        <sz val="10"/>
        <color rgb="FF000000"/>
        <rFont val="Arial"/>
        <family val="2"/>
        <scheme val="minor"/>
      </rPr>
      <t>Branch A (Critical Underperformer):</t>
    </r>
    <r>
      <rPr>
        <sz val="10"/>
        <color rgb="FF000000"/>
        <rFont val="Arial"/>
        <scheme val="minor"/>
      </rPr>
      <t xml:space="preserve"> Represents a severe operational bottleneck, stagnating at just $72,547.50—roughly 14.5% of the revenue captured by Branch B.</t>
    </r>
  </si>
  <si>
    <t>Cumulative statutory tax obligations (Tax 5%) scaled in perfect alignment with sales surges, reaching a peak consolidation of $29,900 heavily weighted toward high-ticket transactions.</t>
  </si>
  <si>
    <t>Initial cross-tabulation of tax metrics by gender outlines balanced consumer demographics, though slight seasonal variances occur within specific branch footprints.</t>
  </si>
  <si>
    <t>4. Strategic Business Recommendations:</t>
  </si>
  <si>
    <r>
      <rPr>
        <i/>
        <u/>
        <sz val="10"/>
        <color rgb="FF000000"/>
        <rFont val="Arial"/>
        <family val="2"/>
        <scheme val="minor"/>
      </rPr>
      <t>Cross-Sell Around Furniture:</t>
    </r>
    <r>
      <rPr>
        <sz val="10"/>
        <color rgb="FF000000"/>
        <rFont val="Arial"/>
        <family val="2"/>
        <scheme val="minor"/>
      </rPr>
      <t xml:space="preserve"> Since Furniture carries the store's profitability but moves low item volumes, design marketing bundles or layout displays that pair high-margin Furniture purchases with high-volume accessories.</t>
    </r>
  </si>
  <si>
    <r>
      <rPr>
        <i/>
        <u/>
        <sz val="10"/>
        <color rgb="FF000000"/>
        <rFont val="Arial"/>
        <family val="2"/>
        <scheme val="minor"/>
      </rPr>
      <t>Inventory Realignment:</t>
    </r>
    <r>
      <rPr>
        <sz val="10"/>
        <color rgb="FF000000"/>
        <rFont val="Arial"/>
        <family val="2"/>
        <scheme val="minor"/>
      </rPr>
      <t xml:space="preserve"> Reallocate floor space and capital away from slow-moving, low-margin products and shift resources toward high-turnover volume drivers to optimize cash flow efficiency.</t>
    </r>
  </si>
  <si>
    <r>
      <rPr>
        <i/>
        <u/>
        <sz val="10"/>
        <color rgb="FF000000"/>
        <rFont val="Arial"/>
        <family val="2"/>
        <scheme val="minor"/>
      </rPr>
      <t>Optimize Branch A Operations:</t>
    </r>
    <r>
      <rPr>
        <sz val="10"/>
        <color rgb="FF000000"/>
        <rFont val="Arial"/>
        <family val="2"/>
        <scheme val="minor"/>
      </rPr>
      <t xml:space="preserve"> Launch a diagnostic audit into Branch A to determine if the low revenue performance ($72,547.50) is caused by supply chain deficits, localized pricing friction, or low foot traffic.</t>
    </r>
  </si>
  <si>
    <t>3. Tax Compliance &amp; Demographic Margins:</t>
  </si>
  <si>
    <r>
      <rPr>
        <b/>
        <u/>
        <sz val="12"/>
        <color rgb="FF000000"/>
        <rFont val="Arial"/>
        <family val="2"/>
        <scheme val="minor"/>
      </rPr>
      <t>Project Objective</t>
    </r>
    <r>
      <rPr>
        <u/>
        <sz val="12"/>
        <color rgb="FF000000"/>
        <rFont val="Arial"/>
        <family val="2"/>
        <scheme val="minor"/>
      </rPr>
      <t>:</t>
    </r>
    <r>
      <rPr>
        <sz val="11"/>
        <color rgb="FF000000"/>
        <rFont val="Arial"/>
        <family val="2"/>
        <scheme val="minor"/>
      </rPr>
      <t xml:space="preserve"> To analyze historical transactional data across supermarket branches, evaluate product category performance, map seasonal financial trends, and provide data-driven operational recommendations.</t>
    </r>
  </si>
  <si>
    <t>Data Visualization Methodology</t>
  </si>
  <si>
    <t>To transform the flat-file transactional schema into a visual application, the project utilized a structured Data-to-Insight pipeline:</t>
  </si>
  <si>
    <t>1. Data Structuring: Raw dimensions were converted into an official Excel Table Object (Ctrl + T) to preserve dynamic arrays and accommodate automated future row appends.</t>
  </si>
  <si>
    <t>2. Aggregation Layer: Downstream calculations (Sums, Item Counts, Cross-tabulations) were isolated on a back-end sheet to preserve processing speeds.</t>
  </si>
  <si>
    <t>3. UI/UX Optimization: Default canvas parameters were altered by removing native spreadsheet gridlines, utilizing a centralized color hierarchy, and grouping charts by logical focus areas (Volume, Regional Share, Margin Trends) to ensure clean reporting aesthetics.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</si>
</sst>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12" x14ac:knownFonts="1">
    <font>
      <sz val="10"/>
      <color rgb="FF000000"/>
      <name val="Arial"/>
      <scheme val="minor"/>
    </font>
    <font>
      <b/>
      <sz val="10"/>
      <color theme="1"/>
      <name val="Arial"/>
      <scheme val="minor"/>
    </font>
    <font>
      <sz val="10"/>
      <color theme="1"/>
      <name val="Arial"/>
      <family val="2"/>
      <scheme val="minor"/>
    </font>
    <font>
      <sz val="10"/>
      <color rgb="FF000000"/>
      <name val="Arial"/>
      <family val="2"/>
      <scheme val="minor"/>
    </font>
    <font>
      <b/>
      <sz val="10"/>
      <color rgb="FF000000"/>
      <name val="Arial"/>
      <family val="2"/>
      <scheme val="minor"/>
    </font>
    <font>
      <b/>
      <sz val="12"/>
      <color rgb="FF000000"/>
      <name val="Arial"/>
      <family val="2"/>
      <scheme val="minor"/>
    </font>
    <font>
      <b/>
      <sz val="22"/>
      <color rgb="FF000000"/>
      <name val="Arial"/>
      <family val="2"/>
      <scheme val="minor"/>
    </font>
    <font>
      <sz val="11"/>
      <color rgb="FF000000"/>
      <name val="Arial"/>
      <family val="2"/>
      <scheme val="minor"/>
    </font>
    <font>
      <b/>
      <i/>
      <sz val="10"/>
      <color rgb="FF000000"/>
      <name val="Arial"/>
      <family val="2"/>
      <scheme val="minor"/>
    </font>
    <font>
      <i/>
      <u/>
      <sz val="10"/>
      <color rgb="FF000000"/>
      <name val="Arial"/>
      <family val="2"/>
      <scheme val="minor"/>
    </font>
    <font>
      <b/>
      <u/>
      <sz val="12"/>
      <color rgb="FF000000"/>
      <name val="Arial"/>
      <family val="2"/>
      <scheme val="minor"/>
    </font>
    <font>
      <u/>
      <sz val="12"/>
      <color rgb="FF000000"/>
      <name val="Arial"/>
      <family val="2"/>
      <scheme val="minor"/>
    </font>
  </fonts>
  <fills count="11">
    <fill>
      <patternFill patternType="none"/>
    </fill>
    <fill>
      <patternFill patternType="gray125"/>
    </fill>
    <fill>
      <patternFill patternType="solid">
        <fgColor theme="4" tint="0.79998168889431442"/>
        <bgColor theme="4" tint="0.79998168889431442"/>
      </patternFill>
    </fill>
    <fill>
      <patternFill patternType="solid">
        <fgColor theme="4" tint="0.39997558519241921"/>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7" tint="0.39997558519241921"/>
        <bgColor indexed="64"/>
      </patternFill>
    </fill>
  </fills>
  <borders count="12">
    <border>
      <left/>
      <right/>
      <top/>
      <bottom/>
      <diagonal/>
    </border>
    <border>
      <left/>
      <right/>
      <top/>
      <bottom style="thin">
        <color theme="4" tint="0.39997558519241921"/>
      </bottom>
      <diagonal/>
    </border>
    <border>
      <left/>
      <right/>
      <top style="thin">
        <color theme="4" tint="0.39997558519241921"/>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46">
    <xf numFmtId="0" fontId="0" fillId="0" borderId="0" xfId="0"/>
    <xf numFmtId="16" fontId="0" fillId="0" borderId="0" xfId="0" applyNumberFormat="1"/>
    <xf numFmtId="0" fontId="0" fillId="0" borderId="3" xfId="0" applyBorder="1"/>
    <xf numFmtId="164" fontId="2" fillId="2" borderId="3" xfId="0" applyNumberFormat="1" applyFont="1" applyFill="1" applyBorder="1" applyAlignment="1">
      <alignment horizontal="center" vertical="center"/>
    </xf>
    <xf numFmtId="164" fontId="2" fillId="0" borderId="3" xfId="0" applyNumberFormat="1" applyFont="1" applyBorder="1" applyAlignment="1">
      <alignment horizontal="center" vertical="center"/>
    </xf>
    <xf numFmtId="0" fontId="0" fillId="0" borderId="3" xfId="0" applyBorder="1" applyAlignment="1">
      <alignment horizontal="center" vertical="center"/>
    </xf>
    <xf numFmtId="16" fontId="0" fillId="0" borderId="3" xfId="0" applyNumberForma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lignment horizontal="left" vertical="center"/>
    </xf>
    <xf numFmtId="0" fontId="0" fillId="0" borderId="4" xfId="0" applyBorder="1" applyAlignment="1">
      <alignment horizontal="center" vertical="center"/>
    </xf>
    <xf numFmtId="0" fontId="3" fillId="0" borderId="5" xfId="0" applyFont="1" applyBorder="1" applyAlignment="1">
      <alignment horizontal="left" vertical="center"/>
    </xf>
    <xf numFmtId="0" fontId="4" fillId="3" borderId="6" xfId="0" applyFont="1" applyFill="1" applyBorder="1" applyAlignment="1">
      <alignment horizontal="center" vertical="center"/>
    </xf>
    <xf numFmtId="0" fontId="4" fillId="3" borderId="7" xfId="0" applyFont="1" applyFill="1" applyBorder="1" applyAlignment="1">
      <alignment horizontal="center" vertical="center"/>
    </xf>
    <xf numFmtId="16" fontId="4" fillId="3" borderId="7" xfId="0" applyNumberFormat="1" applyFont="1" applyFill="1" applyBorder="1" applyAlignment="1">
      <alignment horizontal="center" vertical="center"/>
    </xf>
    <xf numFmtId="0" fontId="4" fillId="3" borderId="8" xfId="0" applyFont="1" applyFill="1" applyBorder="1" applyAlignment="1">
      <alignment horizontal="center" vertical="center"/>
    </xf>
    <xf numFmtId="0" fontId="0" fillId="0" borderId="9" xfId="0" applyBorder="1" applyAlignment="1">
      <alignment horizontal="center" vertical="center"/>
    </xf>
    <xf numFmtId="164" fontId="2" fillId="0" borderId="10" xfId="0" applyNumberFormat="1" applyFont="1" applyBorder="1" applyAlignment="1">
      <alignment horizontal="center" vertical="center"/>
    </xf>
    <xf numFmtId="0" fontId="0" fillId="0" borderId="10" xfId="0" applyBorder="1" applyAlignment="1">
      <alignment horizontal="center" vertical="center"/>
    </xf>
    <xf numFmtId="16" fontId="0" fillId="0" borderId="10" xfId="0" applyNumberFormat="1" applyBorder="1" applyAlignment="1">
      <alignment horizontal="center" vertical="center"/>
    </xf>
    <xf numFmtId="0" fontId="3" fillId="0" borderId="10" xfId="0" applyFont="1" applyBorder="1" applyAlignment="1">
      <alignment horizontal="center" vertical="center"/>
    </xf>
    <xf numFmtId="0" fontId="3" fillId="0" borderId="10" xfId="0" applyFont="1" applyBorder="1" applyAlignment="1">
      <alignment horizontal="left" vertical="center"/>
    </xf>
    <xf numFmtId="0" fontId="3" fillId="0" borderId="11" xfId="0" applyFont="1" applyBorder="1" applyAlignment="1">
      <alignment horizontal="left" vertical="center"/>
    </xf>
    <xf numFmtId="0" fontId="0" fillId="0" borderId="0" xfId="0" pivotButton="1"/>
    <xf numFmtId="0" fontId="0" fillId="0" borderId="0" xfId="0" applyAlignment="1">
      <alignment horizontal="left"/>
    </xf>
    <xf numFmtId="0" fontId="0" fillId="0" borderId="0" xfId="0" applyAlignment="1">
      <alignment horizontal="left" indent="1"/>
    </xf>
    <xf numFmtId="0" fontId="1" fillId="2" borderId="1" xfId="0" applyFont="1" applyFill="1" applyBorder="1"/>
    <xf numFmtId="0" fontId="1" fillId="0" borderId="1" xfId="0" applyFont="1" applyBorder="1" applyAlignment="1">
      <alignment horizontal="left"/>
    </xf>
    <xf numFmtId="0" fontId="1" fillId="0" borderId="1" xfId="0" applyFont="1" applyBorder="1"/>
    <xf numFmtId="0" fontId="1" fillId="2" borderId="2" xfId="0" applyFont="1" applyFill="1" applyBorder="1" applyAlignment="1">
      <alignment horizontal="left"/>
    </xf>
    <xf numFmtId="0" fontId="1" fillId="2" borderId="2" xfId="0" applyFont="1" applyFill="1" applyBorder="1"/>
    <xf numFmtId="16" fontId="0" fillId="0" borderId="0" xfId="0" applyNumberFormat="1" applyAlignment="1">
      <alignment horizontal="left"/>
    </xf>
    <xf numFmtId="0" fontId="0" fillId="0" borderId="0" xfId="0" applyAlignment="1">
      <alignment horizontal="center"/>
    </xf>
    <xf numFmtId="0" fontId="0" fillId="0" borderId="7" xfId="0" applyBorder="1" applyAlignment="1">
      <alignment horizontal="center" vertical="center"/>
    </xf>
    <xf numFmtId="0" fontId="0" fillId="0" borderId="0" xfId="0" applyAlignment="1">
      <alignment horizontal="left" vertical="center"/>
    </xf>
    <xf numFmtId="0" fontId="3" fillId="7" borderId="0" xfId="0" applyFont="1" applyFill="1" applyAlignment="1">
      <alignment horizontal="left" vertical="center"/>
    </xf>
    <xf numFmtId="0" fontId="5" fillId="6" borderId="0" xfId="0" applyFont="1" applyFill="1" applyAlignment="1">
      <alignment horizontal="center" vertical="center"/>
    </xf>
    <xf numFmtId="0" fontId="8" fillId="8" borderId="0" xfId="0" applyFont="1" applyFill="1" applyAlignment="1">
      <alignment horizontal="center" vertical="center"/>
    </xf>
    <xf numFmtId="0" fontId="6" fillId="4" borderId="0" xfId="0" applyFont="1" applyFill="1" applyAlignment="1">
      <alignment horizontal="center" vertical="center"/>
    </xf>
    <xf numFmtId="0" fontId="7" fillId="5" borderId="0" xfId="0" applyFont="1" applyFill="1" applyAlignment="1">
      <alignment horizontal="left" vertical="center"/>
    </xf>
    <xf numFmtId="0" fontId="0" fillId="0" borderId="0" xfId="0" applyAlignment="1">
      <alignment horizontal="center"/>
    </xf>
    <xf numFmtId="0" fontId="7" fillId="10" borderId="0" xfId="0" applyFont="1" applyFill="1" applyAlignment="1">
      <alignment horizontal="left" vertical="center"/>
    </xf>
    <xf numFmtId="0" fontId="7" fillId="9" borderId="0" xfId="0" applyFont="1" applyFill="1" applyAlignment="1">
      <alignment horizontal="center"/>
    </xf>
    <xf numFmtId="0" fontId="0" fillId="7" borderId="0" xfId="0" applyFill="1" applyAlignment="1">
      <alignment horizontal="center"/>
    </xf>
    <xf numFmtId="0" fontId="0" fillId="4" borderId="0" xfId="0" applyFill="1" applyAlignment="1">
      <alignment horizontal="center" vertical="center"/>
    </xf>
    <xf numFmtId="0" fontId="7" fillId="6" borderId="0" xfId="0" applyFont="1" applyFill="1" applyAlignment="1">
      <alignment horizontal="left" vertical="center"/>
    </xf>
    <xf numFmtId="0" fontId="7" fillId="9" borderId="0" xfId="0" applyFont="1" applyFill="1" applyAlignment="1">
      <alignment horizontal="left" vertical="center"/>
    </xf>
  </cellXfs>
  <cellStyles count="1">
    <cellStyle name="Normal" xfId="0" builtinId="0"/>
  </cellStyles>
  <dxfs count="21">
    <dxf>
      <border>
        <left/>
        <right/>
        <top/>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minor"/>
      </font>
      <alignment horizontal="left"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minor"/>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1" formatCode="d\-mmm"/>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minor"/>
      </font>
      <numFmt numFmtId="164" formatCode="mm/dd/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rgb="FF000000"/>
        <name val="Arial"/>
        <family val="2"/>
        <scheme val="minor"/>
      </font>
      <fill>
        <patternFill patternType="solid">
          <fgColor indexed="64"/>
          <bgColor theme="4" tint="0.39997558519241921"/>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connections" Target="connections.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theme" Target="theme/theme1.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19" Type="http://schemas.openxmlformats.org/officeDocument/2006/relationships/calcChain" Target="calcChain.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t>Total</a:t>
            </a:r>
            <a:r>
              <a:rPr lang="en-US" b="1" u="sng" baseline="0"/>
              <a:t> Qty Sold in Each Product</a:t>
            </a:r>
            <a:endParaRPr lang="en-US" b="1" u="sng"/>
          </a:p>
        </c:rich>
      </c:tx>
      <c:overlay val="0"/>
      <c:spPr>
        <a:solidFill>
          <a:schemeClr val="accent4">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pPr>
            <a:solidFill>
              <a:schemeClr val="accent6"/>
            </a:solidFill>
            <a:ln w="9525">
              <a:solidFill>
                <a:schemeClr val="accent6"/>
              </a:solidFill>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6"/>
                </a:solidFill>
                <a:prstDash val="sysDot"/>
              </a:ln>
              <a:effectLst/>
            </c:spPr>
            <c:trendlineType val="linear"/>
            <c:dispRSqr val="0"/>
            <c:dispEq val="0"/>
          </c:trendline>
          <c:cat>
            <c:strLit>
              <c:ptCount val="7"/>
              <c:pt idx="0">
                <c:v>Bathing</c:v>
              </c:pt>
              <c:pt idx="1">
                <c:v>Clothing</c:v>
              </c:pt>
              <c:pt idx="2">
                <c:v>Electronics</c:v>
              </c:pt>
              <c:pt idx="3">
                <c:v>Food</c:v>
              </c:pt>
              <c:pt idx="4">
                <c:v>Furniture</c:v>
              </c:pt>
              <c:pt idx="5">
                <c:v>Grocery</c:v>
              </c:pt>
              <c:pt idx="6">
                <c:v>Plastics</c:v>
              </c:pt>
            </c:strLit>
          </c:cat>
          <c:val>
            <c:numLit>
              <c:formatCode>General</c:formatCode>
              <c:ptCount val="7"/>
              <c:pt idx="0">
                <c:v>15</c:v>
              </c:pt>
              <c:pt idx="1">
                <c:v>18</c:v>
              </c:pt>
              <c:pt idx="2">
                <c:v>11</c:v>
              </c:pt>
              <c:pt idx="3">
                <c:v>9</c:v>
              </c:pt>
              <c:pt idx="4">
                <c:v>9</c:v>
              </c:pt>
              <c:pt idx="5">
                <c:v>15</c:v>
              </c:pt>
              <c:pt idx="6">
                <c:v>18</c:v>
              </c:pt>
            </c:numLit>
          </c:val>
          <c:extLst>
            <c:ext xmlns:c16="http://schemas.microsoft.com/office/drawing/2014/chart" uri="{C3380CC4-5D6E-409C-BE32-E72D297353CC}">
              <c16:uniqueId val="{00000001-02C3-4CA0-9D0A-8506A9806E15}"/>
            </c:ext>
          </c:extLst>
        </c:ser>
        <c:dLbls>
          <c:dLblPos val="outEnd"/>
          <c:showLegendKey val="0"/>
          <c:showVal val="1"/>
          <c:showCatName val="0"/>
          <c:showSerName val="0"/>
          <c:showPercent val="0"/>
          <c:showBubbleSize val="0"/>
        </c:dLbls>
        <c:gapWidth val="219"/>
        <c:overlap val="-27"/>
        <c:axId val="607682192"/>
        <c:axId val="607685072"/>
      </c:barChart>
      <c:catAx>
        <c:axId val="607682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685072"/>
        <c:crosses val="autoZero"/>
        <c:auto val="1"/>
        <c:lblAlgn val="ctr"/>
        <c:lblOffset val="100"/>
        <c:noMultiLvlLbl val="0"/>
      </c:catAx>
      <c:valAx>
        <c:axId val="607685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68219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t>Total Revenue from Each Branch</a:t>
            </a:r>
          </a:p>
        </c:rich>
      </c:tx>
      <c:overlay val="0"/>
      <c:spPr>
        <a:solidFill>
          <a:schemeClr val="accent4">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Branch A</c:v>
              </c:pt>
              <c:pt idx="1">
                <c:v>Branch B</c:v>
              </c:pt>
              <c:pt idx="2">
                <c:v>Branch C</c:v>
              </c:pt>
            </c:strLit>
          </c:cat>
          <c:val>
            <c:numLit>
              <c:formatCode>General</c:formatCode>
              <c:ptCount val="3"/>
              <c:pt idx="0">
                <c:v>72547.5</c:v>
              </c:pt>
              <c:pt idx="1">
                <c:v>497772.5</c:v>
              </c:pt>
              <c:pt idx="2">
                <c:v>305580</c:v>
              </c:pt>
            </c:numLit>
          </c:val>
          <c:extLst>
            <c:ext xmlns:c16="http://schemas.microsoft.com/office/drawing/2014/chart" uri="{C3380CC4-5D6E-409C-BE32-E72D297353CC}">
              <c16:uniqueId val="{00000000-FBC5-48D4-929E-7CA4E6929FF2}"/>
            </c:ext>
          </c:extLst>
        </c:ser>
        <c:dLbls>
          <c:dLblPos val="outEnd"/>
          <c:showLegendKey val="0"/>
          <c:showVal val="1"/>
          <c:showCatName val="0"/>
          <c:showSerName val="0"/>
          <c:showPercent val="0"/>
          <c:showBubbleSize val="0"/>
        </c:dLbls>
        <c:gapWidth val="182"/>
        <c:axId val="1455041455"/>
        <c:axId val="1455033775"/>
      </c:barChart>
      <c:catAx>
        <c:axId val="14550414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5033775"/>
        <c:crosses val="autoZero"/>
        <c:auto val="1"/>
        <c:lblAlgn val="ctr"/>
        <c:lblOffset val="100"/>
        <c:noMultiLvlLbl val="0"/>
      </c:catAx>
      <c:valAx>
        <c:axId val="14550337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504145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b="1" u="sng"/>
              <a:t>Total Gross Profit from Each Product</a:t>
            </a:r>
          </a:p>
        </c:rich>
      </c:tx>
      <c:overlay val="0"/>
      <c:spPr>
        <a:solidFill>
          <a:schemeClr val="accent4">
            <a:lumMod val="60000"/>
            <a:lumOff val="40000"/>
          </a:schemeClr>
        </a:solid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pivotFmt>
      <c:pivotFmt>
        <c:idx val="14"/>
      </c:pivotFmt>
      <c:pivotFmt>
        <c:idx val="15"/>
      </c:pivotFmt>
      <c:pivotFmt>
        <c:idx val="16"/>
      </c:pivotFmt>
    </c:pivotFmts>
    <c:plotArea>
      <c:layout/>
      <c:pieChart>
        <c:varyColors val="1"/>
        <c:ser>
          <c:idx val="0"/>
          <c:order val="0"/>
          <c:tx>
            <c:v>Total</c:v>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77B-4F86-B5D7-4D1CF744959A}"/>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77B-4F86-B5D7-4D1CF744959A}"/>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77B-4F86-B5D7-4D1CF744959A}"/>
              </c:ext>
            </c:extLst>
          </c:dPt>
          <c:dPt>
            <c:idx val="3"/>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977B-4F86-B5D7-4D1CF744959A}"/>
              </c:ext>
            </c:extLst>
          </c:dPt>
          <c:dPt>
            <c:idx val="4"/>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977B-4F86-B5D7-4D1CF744959A}"/>
              </c:ext>
            </c:extLst>
          </c:dPt>
          <c:dPt>
            <c:idx val="5"/>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977B-4F86-B5D7-4D1CF744959A}"/>
              </c:ext>
            </c:extLst>
          </c:dPt>
          <c:dPt>
            <c:idx val="6"/>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977B-4F86-B5D7-4D1CF744959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7"/>
              <c:pt idx="0">
                <c:v>Bathing</c:v>
              </c:pt>
              <c:pt idx="1">
                <c:v>Clothing</c:v>
              </c:pt>
              <c:pt idx="2">
                <c:v>Electronics</c:v>
              </c:pt>
              <c:pt idx="3">
                <c:v>Food</c:v>
              </c:pt>
              <c:pt idx="4">
                <c:v>Furniture</c:v>
              </c:pt>
              <c:pt idx="5">
                <c:v>Grocery</c:v>
              </c:pt>
              <c:pt idx="6">
                <c:v>Plastics</c:v>
              </c:pt>
            </c:strLit>
          </c:cat>
          <c:val>
            <c:numLit>
              <c:formatCode>General</c:formatCode>
              <c:ptCount val="7"/>
              <c:pt idx="0">
                <c:v>3030</c:v>
              </c:pt>
              <c:pt idx="1">
                <c:v>12316.25</c:v>
              </c:pt>
              <c:pt idx="2">
                <c:v>33416.25</c:v>
              </c:pt>
              <c:pt idx="3">
                <c:v>800.625</c:v>
              </c:pt>
              <c:pt idx="4">
                <c:v>163125</c:v>
              </c:pt>
              <c:pt idx="5">
                <c:v>1108.125</c:v>
              </c:pt>
              <c:pt idx="6">
                <c:v>5178.75</c:v>
              </c:pt>
            </c:numLit>
          </c:val>
          <c:extLst>
            <c:ext xmlns:c16="http://schemas.microsoft.com/office/drawing/2014/chart" uri="{C3380CC4-5D6E-409C-BE32-E72D297353CC}">
              <c16:uniqueId val="{0000000E-977B-4F86-B5D7-4D1CF744959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market sales project 2026.xlsx]Sales Pivot!PivotTable9</c:name>
    <c:fmtId val="5"/>
  </c:pivotSource>
  <c:chart>
    <c:title>
      <c:tx>
        <c:rich>
          <a:bodyPr rot="0" spcFirstLastPara="1" vertOverflow="ellipsis" vert="horz" wrap="square" anchor="ctr" anchorCtr="1"/>
          <a:lstStyle/>
          <a:p>
            <a:pPr algn="ctr" rtl="0">
              <a:defRPr lang="en-US" sz="1600" b="0" i="0" u="sng" strike="noStrike" kern="1200" spc="0" baseline="0">
                <a:solidFill>
                  <a:srgbClr val="000000">
                    <a:lumMod val="65000"/>
                    <a:lumOff val="35000"/>
                  </a:srgbClr>
                </a:solidFill>
                <a:latin typeface="+mn-lt"/>
                <a:ea typeface="+mn-ea"/>
                <a:cs typeface="+mn-cs"/>
              </a:defRPr>
            </a:pPr>
            <a:r>
              <a:rPr lang="en-US" sz="1600" b="1" i="0" u="sng" strike="noStrike" kern="1200" baseline="0">
                <a:solidFill>
                  <a:srgbClr val="000000">
                    <a:lumMod val="65000"/>
                    <a:lumOff val="35000"/>
                  </a:srgbClr>
                </a:solidFill>
                <a:latin typeface="+mn-lt"/>
                <a:ea typeface="+mn-ea"/>
                <a:cs typeface="+mn-cs"/>
              </a:rPr>
              <a:t>Total Cost of Goods Sold</a:t>
            </a:r>
          </a:p>
        </c:rich>
      </c:tx>
      <c:overlay val="0"/>
      <c:spPr>
        <a:solidFill>
          <a:schemeClr val="accent4">
            <a:lumMod val="60000"/>
            <a:lumOff val="40000"/>
          </a:schemeClr>
        </a:solidFill>
        <a:ln>
          <a:noFill/>
        </a:ln>
        <a:effectLst/>
      </c:spPr>
      <c:txPr>
        <a:bodyPr rot="0" spcFirstLastPara="1" vertOverflow="ellipsis" vert="horz" wrap="square" anchor="ctr" anchorCtr="1"/>
        <a:lstStyle/>
        <a:p>
          <a:pPr algn="ctr" rtl="0">
            <a:defRPr lang="en-US" sz="1600" b="0" i="0" u="sng" strike="noStrike" kern="1200" spc="0" baseline="0">
              <a:solidFill>
                <a:srgbClr val="000000">
                  <a:lumMod val="65000"/>
                  <a:lumOff val="35000"/>
                </a:srgb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w="19050">
            <a:solidFill>
              <a:schemeClr val="lt1"/>
            </a:solidFill>
          </a:ln>
          <a:effectLst/>
        </c:spPr>
      </c:pivotFmt>
      <c:pivotFmt>
        <c:idx val="11"/>
        <c:spPr>
          <a:solidFill>
            <a:schemeClr val="accent4"/>
          </a:solidFill>
          <a:ln w="19050">
            <a:solidFill>
              <a:schemeClr val="lt1"/>
            </a:solidFill>
          </a:ln>
          <a:effectLst/>
        </c:spPr>
      </c:pivotFmt>
      <c:pivotFmt>
        <c:idx val="12"/>
        <c:spPr>
          <a:solidFill>
            <a:schemeClr val="accent6"/>
          </a:solidFill>
          <a:ln w="19050">
            <a:solidFill>
              <a:schemeClr val="lt1"/>
            </a:solidFill>
          </a:ln>
          <a:effectLst/>
        </c:spPr>
      </c:pivotFmt>
      <c:pivotFmt>
        <c:idx val="13"/>
        <c:spPr>
          <a:solidFill>
            <a:schemeClr val="accent2">
              <a:lumMod val="60000"/>
            </a:schemeClr>
          </a:solidFill>
          <a:ln w="19050">
            <a:solidFill>
              <a:schemeClr val="lt1"/>
            </a:solidFill>
          </a:ln>
          <a:effectLst/>
        </c:spPr>
      </c:pivotFmt>
      <c:pivotFmt>
        <c:idx val="14"/>
        <c:spPr>
          <a:solidFill>
            <a:schemeClr val="accent4">
              <a:lumMod val="60000"/>
            </a:schemeClr>
          </a:solidFill>
          <a:ln w="19050">
            <a:solidFill>
              <a:schemeClr val="lt1"/>
            </a:solidFill>
          </a:ln>
          <a:effectLst/>
        </c:spPr>
      </c:pivotFmt>
      <c:pivotFmt>
        <c:idx val="15"/>
        <c:spPr>
          <a:solidFill>
            <a:schemeClr val="accent6">
              <a:lumMod val="60000"/>
            </a:schemeClr>
          </a:solidFill>
          <a:ln w="19050">
            <a:solidFill>
              <a:schemeClr val="lt1"/>
            </a:solidFill>
          </a:ln>
          <a:effectLst/>
        </c:spPr>
      </c:pivotFmt>
      <c:pivotFmt>
        <c:idx val="16"/>
        <c:spPr>
          <a:solidFill>
            <a:schemeClr val="accent2">
              <a:lumMod val="80000"/>
              <a:lumOff val="20000"/>
            </a:schemeClr>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s>
    <c:plotArea>
      <c:layout/>
      <c:doughnutChart>
        <c:varyColors val="1"/>
        <c:ser>
          <c:idx val="0"/>
          <c:order val="0"/>
          <c:tx>
            <c:strRef>
              <c:f>'Sales Pivot'!$H$34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1ED-4599-A982-B53C3594E3A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1ED-4599-A982-B53C3594E3A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1ED-4599-A982-B53C3594E3A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1ED-4599-A982-B53C3594E3A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1ED-4599-A982-B53C3594E3A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1ED-4599-A982-B53C3594E3A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1ED-4599-A982-B53C3594E3A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A66C-4F58-AA64-764EFE1E3CEE}"/>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A66C-4F58-AA64-764EFE1E3CEE}"/>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A66C-4F58-AA64-764EFE1E3CEE}"/>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A66C-4F58-AA64-764EFE1E3CEE}"/>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A66C-4F58-AA64-764EFE1E3CEE}"/>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A66C-4F58-AA64-764EFE1E3CEE}"/>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A66C-4F58-AA64-764EFE1E3CEE}"/>
              </c:ext>
            </c:extLst>
          </c:dPt>
          <c:cat>
            <c:multiLvlStrRef>
              <c:f>'Sales Pivot'!$G$35:$G$56</c:f>
              <c:multiLvlStrCache>
                <c:ptCount val="14"/>
                <c:lvl>
                  <c:pt idx="0">
                    <c:v>Female</c:v>
                  </c:pt>
                  <c:pt idx="1">
                    <c:v>Male</c:v>
                  </c:pt>
                  <c:pt idx="2">
                    <c:v>Female</c:v>
                  </c:pt>
                  <c:pt idx="3">
                    <c:v>Male</c:v>
                  </c:pt>
                  <c:pt idx="4">
                    <c:v>Female</c:v>
                  </c:pt>
                  <c:pt idx="5">
                    <c:v>Male</c:v>
                  </c:pt>
                  <c:pt idx="6">
                    <c:v>Female</c:v>
                  </c:pt>
                  <c:pt idx="7">
                    <c:v>Male</c:v>
                  </c:pt>
                  <c:pt idx="8">
                    <c:v>Female</c:v>
                  </c:pt>
                  <c:pt idx="9">
                    <c:v>Male</c:v>
                  </c:pt>
                  <c:pt idx="10">
                    <c:v>Female</c:v>
                  </c:pt>
                  <c:pt idx="11">
                    <c:v>Male</c:v>
                  </c:pt>
                  <c:pt idx="12">
                    <c:v>Female</c:v>
                  </c:pt>
                  <c:pt idx="13">
                    <c:v>Male</c:v>
                  </c:pt>
                </c:lvl>
                <c:lvl>
                  <c:pt idx="0">
                    <c:v>Bathing</c:v>
                  </c:pt>
                  <c:pt idx="2">
                    <c:v>Clothing</c:v>
                  </c:pt>
                  <c:pt idx="4">
                    <c:v>Electronics</c:v>
                  </c:pt>
                  <c:pt idx="6">
                    <c:v>Food</c:v>
                  </c:pt>
                  <c:pt idx="8">
                    <c:v>Furniture</c:v>
                  </c:pt>
                  <c:pt idx="10">
                    <c:v>Grocery</c:v>
                  </c:pt>
                  <c:pt idx="12">
                    <c:v>Plastics</c:v>
                  </c:pt>
                </c:lvl>
              </c:multiLvlStrCache>
            </c:multiLvlStrRef>
          </c:cat>
          <c:val>
            <c:numRef>
              <c:f>'Sales Pivot'!$H$35:$H$56</c:f>
              <c:numCache>
                <c:formatCode>General</c:formatCode>
                <c:ptCount val="14"/>
                <c:pt idx="0">
                  <c:v>3030</c:v>
                </c:pt>
                <c:pt idx="1">
                  <c:v>6060</c:v>
                </c:pt>
                <c:pt idx="2">
                  <c:v>17272.5</c:v>
                </c:pt>
                <c:pt idx="3">
                  <c:v>19676.25</c:v>
                </c:pt>
                <c:pt idx="4">
                  <c:v>49638.75</c:v>
                </c:pt>
                <c:pt idx="5">
                  <c:v>50610</c:v>
                </c:pt>
                <c:pt idx="6">
                  <c:v>1601.25</c:v>
                </c:pt>
                <c:pt idx="7">
                  <c:v>800.625</c:v>
                </c:pt>
                <c:pt idx="8">
                  <c:v>326250</c:v>
                </c:pt>
                <c:pt idx="9">
                  <c:v>163125</c:v>
                </c:pt>
                <c:pt idx="10">
                  <c:v>1108.125</c:v>
                </c:pt>
                <c:pt idx="11">
                  <c:v>2216.25</c:v>
                </c:pt>
                <c:pt idx="12">
                  <c:v>6408.75</c:v>
                </c:pt>
                <c:pt idx="13">
                  <c:v>9127.5</c:v>
                </c:pt>
              </c:numCache>
            </c:numRef>
          </c:val>
          <c:extLst>
            <c:ext xmlns:c16="http://schemas.microsoft.com/office/drawing/2014/chart" uri="{C3380CC4-5D6E-409C-BE32-E72D297353CC}">
              <c16:uniqueId val="{0000000E-C1ED-4599-A982-B53C3594E3AD}"/>
            </c:ext>
          </c:extLst>
        </c:ser>
        <c:dLbls>
          <c:showLegendKey val="0"/>
          <c:showVal val="0"/>
          <c:showCatName val="0"/>
          <c:showSerName val="0"/>
          <c:showPercent val="0"/>
          <c:showBubbleSize val="0"/>
          <c:showLeaderLines val="1"/>
        </c:dLbls>
        <c:firstSliceAng val="0"/>
        <c:holeSize val="75"/>
      </c:doughnutChart>
      <c:spPr>
        <a:pattFill prst="pct5">
          <a:fgClr>
            <a:srgbClr val="FFFFFF"/>
          </a:fgClr>
          <a:bgClr>
            <a:schemeClr val="bg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market sales project 2026.xlsx]Sales Pivot!PivotTable3</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t>Total</a:t>
            </a:r>
            <a:r>
              <a:rPr lang="en-US" b="1" u="sng" baseline="0"/>
              <a:t> Revenue by Qty and Product</a:t>
            </a:r>
            <a:endParaRPr lang="en-US" b="1" u="sng"/>
          </a:p>
        </c:rich>
      </c:tx>
      <c:overlay val="0"/>
      <c:spPr>
        <a:solidFill>
          <a:schemeClr val="accent4">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Pivot'!$H$8</c:f>
              <c:strCache>
                <c:ptCount val="1"/>
                <c:pt idx="0">
                  <c:v>Sum of Quantity</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Pivot'!$G$9:$G$16</c:f>
              <c:strCache>
                <c:ptCount val="7"/>
                <c:pt idx="0">
                  <c:v>Bathing</c:v>
                </c:pt>
                <c:pt idx="1">
                  <c:v>Clothing</c:v>
                </c:pt>
                <c:pt idx="2">
                  <c:v>Electronics</c:v>
                </c:pt>
                <c:pt idx="3">
                  <c:v>Food</c:v>
                </c:pt>
                <c:pt idx="4">
                  <c:v>Furniture</c:v>
                </c:pt>
                <c:pt idx="5">
                  <c:v>Grocery</c:v>
                </c:pt>
                <c:pt idx="6">
                  <c:v>Plastics</c:v>
                </c:pt>
              </c:strCache>
            </c:strRef>
          </c:cat>
          <c:val>
            <c:numRef>
              <c:f>'Sales Pivot'!$H$9:$H$16</c:f>
              <c:numCache>
                <c:formatCode>General</c:formatCode>
                <c:ptCount val="7"/>
                <c:pt idx="0">
                  <c:v>15</c:v>
                </c:pt>
                <c:pt idx="1">
                  <c:v>18</c:v>
                </c:pt>
                <c:pt idx="2">
                  <c:v>11</c:v>
                </c:pt>
                <c:pt idx="3">
                  <c:v>9</c:v>
                </c:pt>
                <c:pt idx="4">
                  <c:v>9</c:v>
                </c:pt>
                <c:pt idx="5">
                  <c:v>15</c:v>
                </c:pt>
                <c:pt idx="6">
                  <c:v>18</c:v>
                </c:pt>
              </c:numCache>
            </c:numRef>
          </c:val>
          <c:smooth val="0"/>
          <c:extLst>
            <c:ext xmlns:c16="http://schemas.microsoft.com/office/drawing/2014/chart" uri="{C3380CC4-5D6E-409C-BE32-E72D297353CC}">
              <c16:uniqueId val="{00000000-E0F9-4829-A286-E57CFF17EA31}"/>
            </c:ext>
          </c:extLst>
        </c:ser>
        <c:ser>
          <c:idx val="1"/>
          <c:order val="1"/>
          <c:tx>
            <c:strRef>
              <c:f>'Sales Pivot'!$I$8</c:f>
              <c:strCache>
                <c:ptCount val="1"/>
                <c:pt idx="0">
                  <c:v>Sum of Total Revenue</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4"/>
                </a:solidFill>
                <a:prstDash val="sysDot"/>
              </a:ln>
              <a:effectLst/>
            </c:spPr>
            <c:trendlineType val="linear"/>
            <c:dispRSqr val="0"/>
            <c:dispEq val="0"/>
          </c:trendline>
          <c:cat>
            <c:strRef>
              <c:f>'Sales Pivot'!$G$9:$G$16</c:f>
              <c:strCache>
                <c:ptCount val="7"/>
                <c:pt idx="0">
                  <c:v>Bathing</c:v>
                </c:pt>
                <c:pt idx="1">
                  <c:v>Clothing</c:v>
                </c:pt>
                <c:pt idx="2">
                  <c:v>Electronics</c:v>
                </c:pt>
                <c:pt idx="3">
                  <c:v>Food</c:v>
                </c:pt>
                <c:pt idx="4">
                  <c:v>Furniture</c:v>
                </c:pt>
                <c:pt idx="5">
                  <c:v>Grocery</c:v>
                </c:pt>
                <c:pt idx="6">
                  <c:v>Plastics</c:v>
                </c:pt>
              </c:strCache>
            </c:strRef>
          </c:cat>
          <c:val>
            <c:numRef>
              <c:f>'Sales Pivot'!$I$9:$I$16</c:f>
              <c:numCache>
                <c:formatCode>General</c:formatCode>
                <c:ptCount val="7"/>
                <c:pt idx="0">
                  <c:v>12120</c:v>
                </c:pt>
                <c:pt idx="1">
                  <c:v>49265</c:v>
                </c:pt>
                <c:pt idx="2">
                  <c:v>133665</c:v>
                </c:pt>
                <c:pt idx="3">
                  <c:v>3202.5</c:v>
                </c:pt>
                <c:pt idx="4">
                  <c:v>652500</c:v>
                </c:pt>
                <c:pt idx="5">
                  <c:v>4432.5</c:v>
                </c:pt>
                <c:pt idx="6">
                  <c:v>20715</c:v>
                </c:pt>
              </c:numCache>
            </c:numRef>
          </c:val>
          <c:smooth val="0"/>
          <c:extLst>
            <c:ext xmlns:c16="http://schemas.microsoft.com/office/drawing/2014/chart" uri="{C3380CC4-5D6E-409C-BE32-E72D297353CC}">
              <c16:uniqueId val="{00000001-E0F9-4829-A286-E57CFF17EA31}"/>
            </c:ext>
          </c:extLst>
        </c:ser>
        <c:dLbls>
          <c:dLblPos val="t"/>
          <c:showLegendKey val="0"/>
          <c:showVal val="1"/>
          <c:showCatName val="0"/>
          <c:showSerName val="0"/>
          <c:showPercent val="0"/>
          <c:showBubbleSize val="0"/>
        </c:dLbls>
        <c:marker val="1"/>
        <c:smooth val="0"/>
        <c:axId val="602531760"/>
        <c:axId val="602515440"/>
      </c:lineChart>
      <c:catAx>
        <c:axId val="602531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515440"/>
        <c:crosses val="autoZero"/>
        <c:auto val="1"/>
        <c:lblAlgn val="ctr"/>
        <c:lblOffset val="100"/>
        <c:noMultiLvlLbl val="0"/>
      </c:catAx>
      <c:valAx>
        <c:axId val="602515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531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[Super market sales project 2026.xlsx]Sales Pivot!PivotTable11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t>Product</a:t>
            </a:r>
            <a:r>
              <a:rPr lang="en-US" b="1" u="sng" baseline="0"/>
              <a:t> Gross Profit by Branch</a:t>
            </a:r>
            <a:endParaRPr lang="en-US" b="1" u="sng"/>
          </a:p>
        </c:rich>
      </c:tx>
      <c:overlay val="0"/>
      <c:spPr>
        <a:solidFill>
          <a:schemeClr val="accent4">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Pivot'!$L$8</c:f>
              <c:strCache>
                <c:ptCount val="1"/>
                <c:pt idx="0">
                  <c:v>Total</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Pivot'!$K$9:$K$16</c:f>
              <c:strCache>
                <c:ptCount val="7"/>
                <c:pt idx="0">
                  <c:v>Bathing</c:v>
                </c:pt>
                <c:pt idx="1">
                  <c:v>Clothing</c:v>
                </c:pt>
                <c:pt idx="2">
                  <c:v>Electronics</c:v>
                </c:pt>
                <c:pt idx="3">
                  <c:v>Food</c:v>
                </c:pt>
                <c:pt idx="4">
                  <c:v>Furniture</c:v>
                </c:pt>
                <c:pt idx="5">
                  <c:v>Grocery</c:v>
                </c:pt>
                <c:pt idx="6">
                  <c:v>Plastics</c:v>
                </c:pt>
              </c:strCache>
            </c:strRef>
          </c:cat>
          <c:val>
            <c:numRef>
              <c:f>'Sales Pivot'!$L$9:$L$16</c:f>
              <c:numCache>
                <c:formatCode>General</c:formatCode>
                <c:ptCount val="7"/>
                <c:pt idx="0">
                  <c:v>3030</c:v>
                </c:pt>
                <c:pt idx="1">
                  <c:v>12316.25</c:v>
                </c:pt>
                <c:pt idx="2">
                  <c:v>33416.25</c:v>
                </c:pt>
                <c:pt idx="3">
                  <c:v>800.625</c:v>
                </c:pt>
                <c:pt idx="4">
                  <c:v>163125</c:v>
                </c:pt>
                <c:pt idx="5">
                  <c:v>1108.125</c:v>
                </c:pt>
                <c:pt idx="6">
                  <c:v>5178.75</c:v>
                </c:pt>
              </c:numCache>
            </c:numRef>
          </c:val>
          <c:smooth val="0"/>
          <c:extLst>
            <c:ext xmlns:c16="http://schemas.microsoft.com/office/drawing/2014/chart" uri="{C3380CC4-5D6E-409C-BE32-E72D297353CC}">
              <c16:uniqueId val="{00000000-A2E7-4304-BC1C-44D770AB2250}"/>
            </c:ext>
          </c:extLst>
        </c:ser>
        <c:dLbls>
          <c:dLblPos val="t"/>
          <c:showLegendKey val="0"/>
          <c:showVal val="1"/>
          <c:showCatName val="0"/>
          <c:showSerName val="0"/>
          <c:showPercent val="0"/>
          <c:showBubbleSize val="0"/>
        </c:dLbls>
        <c:smooth val="0"/>
        <c:axId val="607724432"/>
        <c:axId val="607728272"/>
      </c:lineChart>
      <c:catAx>
        <c:axId val="607724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728272"/>
        <c:crosses val="autoZero"/>
        <c:auto val="1"/>
        <c:lblAlgn val="ctr"/>
        <c:lblOffset val="100"/>
        <c:noMultiLvlLbl val="0"/>
      </c:catAx>
      <c:valAx>
        <c:axId val="607728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724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t>Sum of Tax (5%)</a:t>
            </a:r>
          </a:p>
        </c:rich>
      </c:tx>
      <c:overlay val="0"/>
      <c:spPr>
        <a:solidFill>
          <a:schemeClr val="accent4">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'Sales Pivot'!$L$18</c:f>
              <c:strCache>
                <c:ptCount val="1"/>
                <c:pt idx="0">
                  <c:v>Sum of Tax (5%)</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2"/>
                </a:solidFill>
                <a:prstDash val="sysDot"/>
              </a:ln>
              <a:effectLst/>
            </c:spPr>
            <c:trendlineType val="linear"/>
            <c:dispRSqr val="0"/>
            <c:dispEq val="0"/>
          </c:trendline>
          <c:cat>
            <c:strRef>
              <c:f>'Sales Pivot'!$K$19:$K$28</c:f>
              <c:strCache>
                <c:ptCount val="10"/>
                <c:pt idx="0">
                  <c:v>Branch A</c:v>
                </c:pt>
                <c:pt idx="1">
                  <c:v>Female</c:v>
                </c:pt>
                <c:pt idx="2">
                  <c:v>Male</c:v>
                </c:pt>
                <c:pt idx="3">
                  <c:v>Branch B</c:v>
                </c:pt>
                <c:pt idx="4">
                  <c:v>Female</c:v>
                </c:pt>
                <c:pt idx="5">
                  <c:v>Male</c:v>
                </c:pt>
                <c:pt idx="6">
                  <c:v>Branch C</c:v>
                </c:pt>
                <c:pt idx="7">
                  <c:v>Female</c:v>
                </c:pt>
                <c:pt idx="8">
                  <c:v>Male</c:v>
                </c:pt>
                <c:pt idx="9">
                  <c:v>Grand Total</c:v>
                </c:pt>
              </c:strCache>
            </c:strRef>
          </c:cat>
          <c:val>
            <c:numRef>
              <c:f>'Sales Pivot'!$L$19:$L$28</c:f>
              <c:numCache>
                <c:formatCode>General</c:formatCode>
                <c:ptCount val="10"/>
                <c:pt idx="0">
                  <c:v>1297.5</c:v>
                </c:pt>
                <c:pt idx="1">
                  <c:v>625</c:v>
                </c:pt>
                <c:pt idx="2">
                  <c:v>672.5</c:v>
                </c:pt>
                <c:pt idx="3">
                  <c:v>14622.5</c:v>
                </c:pt>
                <c:pt idx="4">
                  <c:v>8837.5</c:v>
                </c:pt>
                <c:pt idx="5">
                  <c:v>5785</c:v>
                </c:pt>
                <c:pt idx="6">
                  <c:v>13980</c:v>
                </c:pt>
                <c:pt idx="7">
                  <c:v>9200</c:v>
                </c:pt>
                <c:pt idx="8">
                  <c:v>4780</c:v>
                </c:pt>
                <c:pt idx="9">
                  <c:v>29900</c:v>
                </c:pt>
              </c:numCache>
            </c:numRef>
          </c:val>
          <c:smooth val="0"/>
          <c:extLst>
            <c:ext xmlns:c16="http://schemas.microsoft.com/office/drawing/2014/chart" uri="{C3380CC4-5D6E-409C-BE32-E72D297353CC}">
              <c16:uniqueId val="{00000000-8F12-4F48-97AE-6EBA1EBF957D}"/>
            </c:ext>
          </c:extLst>
        </c:ser>
        <c:dLbls>
          <c:dLblPos val="t"/>
          <c:showLegendKey val="0"/>
          <c:showVal val="1"/>
          <c:showCatName val="0"/>
          <c:showSerName val="0"/>
          <c:showPercent val="0"/>
          <c:showBubbleSize val="0"/>
        </c:dLbls>
        <c:smooth val="0"/>
        <c:axId val="602480880"/>
        <c:axId val="602497680"/>
      </c:lineChart>
      <c:catAx>
        <c:axId val="602480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497680"/>
        <c:crosses val="autoZero"/>
        <c:auto val="1"/>
        <c:lblAlgn val="ctr"/>
        <c:lblOffset val="100"/>
        <c:noMultiLvlLbl val="0"/>
      </c:catAx>
      <c:valAx>
        <c:axId val="602497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480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[Super market sales project 2026.xlsx]Sales Pivot!PivotTable14</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t>Total</a:t>
            </a:r>
            <a:r>
              <a:rPr lang="en-US" b="1" u="sng" baseline="0"/>
              <a:t> Gross Profit by Product In Every Month</a:t>
            </a:r>
            <a:endParaRPr lang="en-US" b="1" u="sng"/>
          </a:p>
        </c:rich>
      </c:tx>
      <c:overlay val="0"/>
      <c:spPr>
        <a:solidFill>
          <a:schemeClr val="accent4">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'Sales Pivot'!$O$8</c:f>
              <c:strCache>
                <c:ptCount val="1"/>
                <c:pt idx="0">
                  <c:v>Total</c:v>
                </c:pt>
              </c:strCache>
            </c:strRef>
          </c:tx>
          <c:spPr>
            <a:solidFill>
              <a:schemeClr val="dk1">
                <a:tint val="88500"/>
              </a:schemeClr>
            </a:solidFill>
            <a:ln>
              <a:noFill/>
            </a:ln>
            <a:effectLst/>
            <a:sp3d/>
          </c:spPr>
          <c:invertIfNegative val="0"/>
          <c:cat>
            <c:multiLvlStrRef>
              <c:f>'Sales Pivot'!$N$9:$N$41</c:f>
              <c:multiLvlStrCache>
                <c:ptCount val="26"/>
                <c:lvl>
                  <c:pt idx="0">
                    <c:v>Bathing</c:v>
                  </c:pt>
                  <c:pt idx="1">
                    <c:v>Clothing</c:v>
                  </c:pt>
                  <c:pt idx="2">
                    <c:v>Electronics</c:v>
                  </c:pt>
                  <c:pt idx="3">
                    <c:v>Food</c:v>
                  </c:pt>
                  <c:pt idx="4">
                    <c:v>Grocery</c:v>
                  </c:pt>
                  <c:pt idx="5">
                    <c:v>Clothing</c:v>
                  </c:pt>
                  <c:pt idx="6">
                    <c:v>Electronics</c:v>
                  </c:pt>
                  <c:pt idx="7">
                    <c:v>Furniture</c:v>
                  </c:pt>
                  <c:pt idx="8">
                    <c:v>Grocery</c:v>
                  </c:pt>
                  <c:pt idx="9">
                    <c:v>Plastics</c:v>
                  </c:pt>
                  <c:pt idx="10">
                    <c:v>Bathing</c:v>
                  </c:pt>
                  <c:pt idx="11">
                    <c:v>Clothing</c:v>
                  </c:pt>
                  <c:pt idx="12">
                    <c:v>Electronics</c:v>
                  </c:pt>
                  <c:pt idx="13">
                    <c:v>Food</c:v>
                  </c:pt>
                  <c:pt idx="14">
                    <c:v>Grocery</c:v>
                  </c:pt>
                  <c:pt idx="15">
                    <c:v>Clothing</c:v>
                  </c:pt>
                  <c:pt idx="16">
                    <c:v>Electronics</c:v>
                  </c:pt>
                  <c:pt idx="17">
                    <c:v>Furniture</c:v>
                  </c:pt>
                  <c:pt idx="18">
                    <c:v>Plastics</c:v>
                  </c:pt>
                  <c:pt idx="19">
                    <c:v>Bathing</c:v>
                  </c:pt>
                  <c:pt idx="20">
                    <c:v>Clothing</c:v>
                  </c:pt>
                  <c:pt idx="21">
                    <c:v>Electronics</c:v>
                  </c:pt>
                  <c:pt idx="22">
                    <c:v>Food</c:v>
                  </c:pt>
                  <c:pt idx="23">
                    <c:v>Grocery</c:v>
                  </c:pt>
                  <c:pt idx="24">
                    <c:v>Furniture</c:v>
                  </c:pt>
                  <c:pt idx="25">
                    <c:v>Plastics</c:v>
                  </c:pt>
                </c:lvl>
                <c:lvl>
                  <c:pt idx="0">
                    <c:v>1-Jan</c:v>
                  </c:pt>
                  <c:pt idx="5">
                    <c:v>2-Jan</c:v>
                  </c:pt>
                  <c:pt idx="10">
                    <c:v>3-Jan</c:v>
                  </c:pt>
                  <c:pt idx="15">
                    <c:v>4-Jan</c:v>
                  </c:pt>
                  <c:pt idx="19">
                    <c:v>5-Jan</c:v>
                  </c:pt>
                  <c:pt idx="24">
                    <c:v>6-Jan</c:v>
                  </c:pt>
                </c:lvl>
              </c:multiLvlStrCache>
            </c:multiLvlStrRef>
          </c:cat>
          <c:val>
            <c:numRef>
              <c:f>'Sales Pivot'!$O$9:$O$41</c:f>
              <c:numCache>
                <c:formatCode>General</c:formatCode>
                <c:ptCount val="26"/>
                <c:pt idx="0">
                  <c:v>1010</c:v>
                </c:pt>
                <c:pt idx="1">
                  <c:v>420</c:v>
                </c:pt>
                <c:pt idx="2">
                  <c:v>3263.75</c:v>
                </c:pt>
                <c:pt idx="3">
                  <c:v>266.875</c:v>
                </c:pt>
                <c:pt idx="4">
                  <c:v>102.5</c:v>
                </c:pt>
                <c:pt idx="5">
                  <c:v>4193.75</c:v>
                </c:pt>
                <c:pt idx="6">
                  <c:v>11812.5</c:v>
                </c:pt>
                <c:pt idx="7">
                  <c:v>54375</c:v>
                </c:pt>
                <c:pt idx="8">
                  <c:v>266.875</c:v>
                </c:pt>
                <c:pt idx="9">
                  <c:v>1726.25</c:v>
                </c:pt>
                <c:pt idx="10">
                  <c:v>1010</c:v>
                </c:pt>
                <c:pt idx="11">
                  <c:v>3088.75</c:v>
                </c:pt>
                <c:pt idx="12">
                  <c:v>3263.75</c:v>
                </c:pt>
                <c:pt idx="13">
                  <c:v>266.875</c:v>
                </c:pt>
                <c:pt idx="14">
                  <c:v>369.375</c:v>
                </c:pt>
                <c:pt idx="15">
                  <c:v>1525</c:v>
                </c:pt>
                <c:pt idx="16">
                  <c:v>13606.25</c:v>
                </c:pt>
                <c:pt idx="17">
                  <c:v>54375</c:v>
                </c:pt>
                <c:pt idx="18">
                  <c:v>1726.25</c:v>
                </c:pt>
                <c:pt idx="19">
                  <c:v>1010</c:v>
                </c:pt>
                <c:pt idx="20">
                  <c:v>3088.75</c:v>
                </c:pt>
                <c:pt idx="21">
                  <c:v>1470</c:v>
                </c:pt>
                <c:pt idx="22">
                  <c:v>266.875</c:v>
                </c:pt>
                <c:pt idx="23">
                  <c:v>369.375</c:v>
                </c:pt>
                <c:pt idx="24">
                  <c:v>54375</c:v>
                </c:pt>
                <c:pt idx="25">
                  <c:v>1726.25</c:v>
                </c:pt>
              </c:numCache>
            </c:numRef>
          </c:val>
          <c:extLst>
            <c:ext xmlns:c16="http://schemas.microsoft.com/office/drawing/2014/chart" uri="{C3380CC4-5D6E-409C-BE32-E72D297353CC}">
              <c16:uniqueId val="{00000000-6C61-422B-AC96-4FBEB9052021}"/>
            </c:ext>
          </c:extLst>
        </c:ser>
        <c:dLbls>
          <c:showLegendKey val="0"/>
          <c:showVal val="0"/>
          <c:showCatName val="0"/>
          <c:showSerName val="0"/>
          <c:showPercent val="0"/>
          <c:showBubbleSize val="0"/>
        </c:dLbls>
        <c:gapWidth val="150"/>
        <c:shape val="box"/>
        <c:axId val="1569844799"/>
        <c:axId val="788522560"/>
        <c:axId val="1682391487"/>
      </c:bar3DChart>
      <c:catAx>
        <c:axId val="15698447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8522560"/>
        <c:crosses val="autoZero"/>
        <c:auto val="1"/>
        <c:lblAlgn val="ctr"/>
        <c:lblOffset val="100"/>
        <c:noMultiLvlLbl val="0"/>
      </c:catAx>
      <c:valAx>
        <c:axId val="788522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9844799"/>
        <c:crosses val="autoZero"/>
        <c:crossBetween val="between"/>
      </c:valAx>
      <c:serAx>
        <c:axId val="1682391487"/>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8522560"/>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Branch Wise Tax By Gender</cx:v>
        </cx:txData>
      </cx:tx>
      <cx:spPr>
        <a:solidFill>
          <a:schemeClr val="accent4">
            <a:lumMod val="60000"/>
            <a:lumOff val="40000"/>
          </a:schemeClr>
        </a:solidFill>
      </cx:spPr>
      <cx:txPr>
        <a:bodyPr spcFirstLastPara="1" vertOverflow="ellipsis" horzOverflow="overflow" wrap="square" lIns="0" tIns="0" rIns="0" bIns="0" anchor="ctr" anchorCtr="1"/>
        <a:lstStyle/>
        <a:p>
          <a:pPr algn="ctr" rtl="0">
            <a:defRPr/>
          </a:pPr>
          <a:r>
            <a:rPr lang="en-US" sz="1400" b="1" i="0" u="sng" strike="noStrike" baseline="0">
              <a:solidFill>
                <a:srgbClr val="000000">
                  <a:lumMod val="65000"/>
                  <a:lumOff val="35000"/>
                </a:srgbClr>
              </a:solidFill>
              <a:latin typeface="Arial"/>
              <a:cs typeface="Arial"/>
            </a:rPr>
            <a:t>Branch Wise Tax By Gender</a:t>
          </a:r>
        </a:p>
      </cx:txPr>
    </cx:title>
    <cx:plotArea>
      <cx:plotAreaRegion>
        <cx:series layoutId="waterfall" uniqueId="{27495799-B9C2-40A4-B86C-2982BC796297}">
          <cx:tx>
            <cx:txData>
              <cx:f>_xlchart.v1.1</cx:f>
              <cx:v>Sum of Tax (5%)</cx:v>
            </cx:txData>
          </cx:tx>
          <cx:dataLabels>
            <cx:visibility seriesName="0" categoryName="0" value="1"/>
          </cx:dataLabels>
          <cx:dataId val="0"/>
          <cx:layoutPr>
            <cx:subtotals/>
          </cx:layoutPr>
        </cx:series>
      </cx:plotAreaRegion>
      <cx:axis id="0">
        <cx:catScaling gapWidth="0.5"/>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6">
  <a:schemeClr val="accent3"/>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47</xdr:row>
      <xdr:rowOff>99817</xdr:rowOff>
    </xdr:from>
    <xdr:to>
      <xdr:col>0</xdr:col>
      <xdr:colOff>1828800</xdr:colOff>
      <xdr:row>61</xdr:row>
      <xdr:rowOff>0</xdr:rowOff>
    </xdr:to>
    <mc:AlternateContent xmlns:mc="http://schemas.openxmlformats.org/markup-compatibility/2006" xmlns:a14="http://schemas.microsoft.com/office/drawing/2010/main">
      <mc:Choice Requires="a14">
        <xdr:graphicFrame macro="">
          <xdr:nvGraphicFramePr>
            <xdr:cNvPr id="20" name="Branch">
              <a:extLst>
                <a:ext uri="{FF2B5EF4-FFF2-40B4-BE49-F238E27FC236}">
                  <a16:creationId xmlns:a16="http://schemas.microsoft.com/office/drawing/2014/main" id="{02B2F14C-5877-AB53-9066-4B83262F336D}"/>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0" y="7949461"/>
              <a:ext cx="1828800" cy="2238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33</xdr:row>
      <xdr:rowOff>89457</xdr:rowOff>
    </xdr:from>
    <xdr:to>
      <xdr:col>0</xdr:col>
      <xdr:colOff>1828800</xdr:colOff>
      <xdr:row>46</xdr:row>
      <xdr:rowOff>156654</xdr:rowOff>
    </xdr:to>
    <mc:AlternateContent xmlns:mc="http://schemas.openxmlformats.org/markup-compatibility/2006" xmlns:a14="http://schemas.microsoft.com/office/drawing/2010/main">
      <mc:Choice Requires="a14">
        <xdr:graphicFrame macro="">
          <xdr:nvGraphicFramePr>
            <xdr:cNvPr id="22" name="Product Line">
              <a:extLst>
                <a:ext uri="{FF2B5EF4-FFF2-40B4-BE49-F238E27FC236}">
                  <a16:creationId xmlns:a16="http://schemas.microsoft.com/office/drawing/2014/main" id="{8583015E-7D35-0A88-3C08-60D6B76764B8}"/>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mlns="">
        <xdr:sp macro="" textlink="">
          <xdr:nvSpPr>
            <xdr:cNvPr id="0" name=""/>
            <xdr:cNvSpPr>
              <a:spLocks noTextEdit="1"/>
            </xdr:cNvSpPr>
          </xdr:nvSpPr>
          <xdr:spPr>
            <a:xfrm>
              <a:off x="0" y="5600909"/>
              <a:ext cx="1828800" cy="2238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24</xdr:row>
      <xdr:rowOff>106681</xdr:rowOff>
    </xdr:from>
    <xdr:to>
      <xdr:col>0</xdr:col>
      <xdr:colOff>1842161</xdr:colOff>
      <xdr:row>33</xdr:row>
      <xdr:rowOff>15240</xdr:rowOff>
    </xdr:to>
    <mc:AlternateContent xmlns:mc="http://schemas.openxmlformats.org/markup-compatibility/2006" xmlns:a14="http://schemas.microsoft.com/office/drawing/2010/main">
      <mc:Choice Requires="a14">
        <xdr:graphicFrame macro="">
          <xdr:nvGraphicFramePr>
            <xdr:cNvPr id="24" name="Gender">
              <a:extLst>
                <a:ext uri="{FF2B5EF4-FFF2-40B4-BE49-F238E27FC236}">
                  <a16:creationId xmlns:a16="http://schemas.microsoft.com/office/drawing/2014/main" id="{15DF7840-EA45-75F2-30B7-DC9F5B9C4D3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0" y="4130041"/>
              <a:ext cx="1842161" cy="14173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5</xdr:row>
      <xdr:rowOff>50800</xdr:rowOff>
    </xdr:from>
    <xdr:to>
      <xdr:col>10</xdr:col>
      <xdr:colOff>0</xdr:colOff>
      <xdr:row>24</xdr:row>
      <xdr:rowOff>50800</xdr:rowOff>
    </xdr:to>
    <xdr:graphicFrame macro="">
      <xdr:nvGraphicFramePr>
        <xdr:cNvPr id="4" name="Chart 3">
          <a:extLst>
            <a:ext uri="{FF2B5EF4-FFF2-40B4-BE49-F238E27FC236}">
              <a16:creationId xmlns:a16="http://schemas.microsoft.com/office/drawing/2014/main" id="{98E7A19A-2705-460C-8EEB-327F160B80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119203</xdr:colOff>
      <xdr:row>25</xdr:row>
      <xdr:rowOff>154810</xdr:rowOff>
    </xdr:from>
    <xdr:to>
      <xdr:col>10</xdr:col>
      <xdr:colOff>72277</xdr:colOff>
      <xdr:row>46</xdr:row>
      <xdr:rowOff>74341</xdr:rowOff>
    </xdr:to>
    <xdr:graphicFrame macro="">
      <xdr:nvGraphicFramePr>
        <xdr:cNvPr id="5" name="Chart 4">
          <a:extLst>
            <a:ext uri="{FF2B5EF4-FFF2-40B4-BE49-F238E27FC236}">
              <a16:creationId xmlns:a16="http://schemas.microsoft.com/office/drawing/2014/main" id="{21D6179B-0076-4BAC-9DDE-7ACFA9D1F9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578898</xdr:colOff>
      <xdr:row>26</xdr:row>
      <xdr:rowOff>161107</xdr:rowOff>
    </xdr:from>
    <xdr:to>
      <xdr:col>34</xdr:col>
      <xdr:colOff>598713</xdr:colOff>
      <xdr:row>47</xdr:row>
      <xdr:rowOff>97607</xdr:rowOff>
    </xdr:to>
    <xdr:graphicFrame macro="">
      <xdr:nvGraphicFramePr>
        <xdr:cNvPr id="6" name="Chart 5">
          <a:extLst>
            <a:ext uri="{FF2B5EF4-FFF2-40B4-BE49-F238E27FC236}">
              <a16:creationId xmlns:a16="http://schemas.microsoft.com/office/drawing/2014/main" id="{43516788-7F5D-4BAC-A467-889FEA1E99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368967</xdr:colOff>
      <xdr:row>26</xdr:row>
      <xdr:rowOff>88899</xdr:rowOff>
    </xdr:from>
    <xdr:to>
      <xdr:col>21</xdr:col>
      <xdr:colOff>14514</xdr:colOff>
      <xdr:row>47</xdr:row>
      <xdr:rowOff>8020</xdr:rowOff>
    </xdr:to>
    <xdr:graphicFrame macro="">
      <xdr:nvGraphicFramePr>
        <xdr:cNvPr id="7" name="Chart 6">
          <a:extLst>
            <a:ext uri="{FF2B5EF4-FFF2-40B4-BE49-F238E27FC236}">
              <a16:creationId xmlns:a16="http://schemas.microsoft.com/office/drawing/2014/main" id="{C900B387-62DD-40FD-A1BE-F8B22A4DB9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232609</xdr:colOff>
      <xdr:row>5</xdr:row>
      <xdr:rowOff>32085</xdr:rowOff>
    </xdr:from>
    <xdr:to>
      <xdr:col>20</xdr:col>
      <xdr:colOff>569495</xdr:colOff>
      <xdr:row>24</xdr:row>
      <xdr:rowOff>144379</xdr:rowOff>
    </xdr:to>
    <xdr:graphicFrame macro="">
      <xdr:nvGraphicFramePr>
        <xdr:cNvPr id="8" name="Chart 7">
          <a:extLst>
            <a:ext uri="{FF2B5EF4-FFF2-40B4-BE49-F238E27FC236}">
              <a16:creationId xmlns:a16="http://schemas.microsoft.com/office/drawing/2014/main" id="{28697D73-CA70-498A-A1DF-68904E36A2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0</xdr:colOff>
      <xdr:row>5</xdr:row>
      <xdr:rowOff>1</xdr:rowOff>
    </xdr:from>
    <xdr:to>
      <xdr:col>35</xdr:col>
      <xdr:colOff>0</xdr:colOff>
      <xdr:row>24</xdr:row>
      <xdr:rowOff>77306</xdr:rowOff>
    </xdr:to>
    <xdr:graphicFrame macro="">
      <xdr:nvGraphicFramePr>
        <xdr:cNvPr id="10" name="Chart 9">
          <a:extLst>
            <a:ext uri="{FF2B5EF4-FFF2-40B4-BE49-F238E27FC236}">
              <a16:creationId xmlns:a16="http://schemas.microsoft.com/office/drawing/2014/main" id="{FF644EE4-1B5E-4A93-BBD7-EA84B71B70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49</xdr:row>
      <xdr:rowOff>166253</xdr:rowOff>
    </xdr:from>
    <xdr:to>
      <xdr:col>9</xdr:col>
      <xdr:colOff>595744</xdr:colOff>
      <xdr:row>70</xdr:row>
      <xdr:rowOff>96981</xdr:rowOff>
    </xdr:to>
    <xdr:graphicFrame macro="">
      <xdr:nvGraphicFramePr>
        <xdr:cNvPr id="11" name="Chart 10">
          <a:extLst>
            <a:ext uri="{FF2B5EF4-FFF2-40B4-BE49-F238E27FC236}">
              <a16:creationId xmlns:a16="http://schemas.microsoft.com/office/drawing/2014/main" id="{7651EC76-4122-4FCD-80D2-D6904C69AF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0</xdr:colOff>
      <xdr:row>49</xdr:row>
      <xdr:rowOff>163285</xdr:rowOff>
    </xdr:from>
    <xdr:to>
      <xdr:col>21</xdr:col>
      <xdr:colOff>18143</xdr:colOff>
      <xdr:row>70</xdr:row>
      <xdr:rowOff>9070</xdr:rowOff>
    </xdr:to>
    <mc:AlternateContent xmlns:mc="http://schemas.openxmlformats.org/markup-compatibility/2006">
      <mc:Choice xmlns:cx1="http://schemas.microsoft.com/office/drawing/2015/9/8/chartex" Requires="cx1">
        <xdr:graphicFrame macro="">
          <xdr:nvGraphicFramePr>
            <xdr:cNvPr id="12" name="Chart 11">
              <a:extLst>
                <a:ext uri="{FF2B5EF4-FFF2-40B4-BE49-F238E27FC236}">
                  <a16:creationId xmlns:a16="http://schemas.microsoft.com/office/drawing/2014/main" id="{FBE15ABF-C993-47FF-BC0E-010F8BAFB7E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6705600" y="8377645"/>
              <a:ext cx="6114143" cy="33662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22</xdr:col>
      <xdr:colOff>0</xdr:colOff>
      <xdr:row>49</xdr:row>
      <xdr:rowOff>168348</xdr:rowOff>
    </xdr:from>
    <xdr:to>
      <xdr:col>35</xdr:col>
      <xdr:colOff>26583</xdr:colOff>
      <xdr:row>69</xdr:row>
      <xdr:rowOff>106324</xdr:rowOff>
    </xdr:to>
    <xdr:graphicFrame macro="">
      <xdr:nvGraphicFramePr>
        <xdr:cNvPr id="13" name="Chart 12">
          <a:extLst>
            <a:ext uri="{FF2B5EF4-FFF2-40B4-BE49-F238E27FC236}">
              <a16:creationId xmlns:a16="http://schemas.microsoft.com/office/drawing/2014/main" id="{00DB576D-15D6-40A1-9E70-D4AA4AF16F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a Kumar" refreshedDate="46165.734020370372" createdVersion="8" refreshedVersion="8" minRefreshableVersion="3" recordCount="40" xr:uid="{6944C2B1-C8A3-4E25-B7AE-B90A354CD324}">
  <cacheSource type="worksheet">
    <worksheetSource name="Table3"/>
  </cacheSource>
  <cacheFields count="14">
    <cacheField name="Invoice ID" numFmtId="0">
      <sharedItems containsSemiMixedTypes="0" containsString="0" containsNumber="1" containsInteger="1" minValue="101" maxValue="140" count="4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sharedItems>
    </cacheField>
    <cacheField name="Date" numFmtId="164">
      <sharedItems containsSemiMixedTypes="0" containsNonDate="0" containsDate="1" containsString="0" minDate="2025-01-15T00:00:00" maxDate="2025-06-17T00:00:00" count="40">
        <d v="2025-01-15T00:00:00"/>
        <d v="2025-01-18T00:00:00"/>
        <d v="2025-01-20T00:00:00"/>
        <d v="2025-01-22T00:00:00"/>
        <d v="2025-01-25T00:00:00"/>
        <d v="2025-01-28T00:00:00"/>
        <d v="2025-02-02T00:00:00"/>
        <d v="2025-02-05T00:00:00"/>
        <d v="2025-02-10T00:00:00"/>
        <d v="2025-02-14T00:00:00"/>
        <d v="2025-02-17T00:00:00"/>
        <d v="2025-02-20T00:00:00"/>
        <d v="2025-02-24T00:00:00"/>
        <d v="2025-02-27T00:00:00"/>
        <d v="2025-03-03T00:00:00"/>
        <d v="2025-03-06T00:00:00"/>
        <d v="2025-03-11T00:00:00"/>
        <d v="2025-03-15T00:00:00"/>
        <d v="2025-03-19T00:00:00"/>
        <d v="2025-03-22T00:00:00"/>
        <d v="2025-03-26T00:00:00"/>
        <d v="2025-03-30T00:00:00"/>
        <d v="2025-04-04T00:00:00"/>
        <d v="2025-04-08T00:00:00"/>
        <d v="2025-04-12T00:00:00"/>
        <d v="2025-04-15T00:00:00"/>
        <d v="2025-04-19T00:00:00"/>
        <d v="2025-04-23T00:00:00"/>
        <d v="2025-04-27T00:00:00"/>
        <d v="2025-05-02T00:00:00"/>
        <d v="2025-05-06T00:00:00"/>
        <d v="2025-05-10T00:00:00"/>
        <d v="2025-05-15T00:00:00"/>
        <d v="2025-05-19T00:00:00"/>
        <d v="2025-05-24T00:00:00"/>
        <d v="2025-05-28T00:00:00"/>
        <d v="2025-06-02T00:00:00"/>
        <d v="2025-06-07T00:00:00"/>
        <d v="2025-06-12T00:00:00"/>
        <d v="2025-06-16T00:00:00"/>
      </sharedItems>
    </cacheField>
    <cacheField name="Year" numFmtId="0">
      <sharedItems containsSemiMixedTypes="0" containsString="0" containsNumber="1" containsInteger="1" minValue="2025" maxValue="2025"/>
    </cacheField>
    <cacheField name="Month" numFmtId="16">
      <sharedItems containsSemiMixedTypes="0" containsNonDate="0" containsDate="1" containsString="0" minDate="1899-12-31T00:00:00" maxDate="1900-01-06T00:00:00" count="6">
        <d v="1899-12-31T00:00:00"/>
        <d v="1900-01-01T00:00:00"/>
        <d v="1900-01-02T00:00:00"/>
        <d v="1900-01-03T00:00:00"/>
        <d v="1900-01-04T00:00:00"/>
        <d v="1900-01-05T00:00:00"/>
      </sharedItems>
    </cacheField>
    <cacheField name="Branch" numFmtId="0">
      <sharedItems count="3">
        <s v="Branch A"/>
        <s v="Branch B"/>
        <s v="Branch C"/>
      </sharedItems>
    </cacheField>
    <cacheField name="Gender" numFmtId="0">
      <sharedItems count="2">
        <s v="Male"/>
        <s v="Female"/>
      </sharedItems>
    </cacheField>
    <cacheField name="Product Line" numFmtId="0">
      <sharedItems count="7">
        <s v="Electronics"/>
        <s v="Grocery"/>
        <s v="Food"/>
        <s v="Clothing"/>
        <s v="Bathing"/>
        <s v="Plastics"/>
        <s v="Furniture"/>
      </sharedItems>
    </cacheField>
    <cacheField name="Unit Price" numFmtId="0">
      <sharedItems containsSemiMixedTypes="0" containsString="0" containsNumber="1" containsInteger="1" minValue="200" maxValue="90000"/>
    </cacheField>
    <cacheField name="Quantity" numFmtId="0">
      <sharedItems containsSemiMixedTypes="0" containsString="0" containsNumber="1" containsInteger="1" minValue="1" maxValue="5"/>
    </cacheField>
    <cacheField name="Tax (5%)" numFmtId="0">
      <sharedItems containsSemiMixedTypes="0" containsString="0" containsNumber="1" minValue="10" maxValue="4500"/>
    </cacheField>
    <cacheField name="Total Revenue" numFmtId="0">
      <sharedItems containsSemiMixedTypes="0" containsString="0" containsNumber="1" minValue="410" maxValue="123000"/>
    </cacheField>
    <cacheField name="Costs of Goods Sold" numFmtId="0">
      <sharedItems containsSemiMixedTypes="0" containsString="0" containsNumber="1" minValue="307.5" maxValue="92250"/>
    </cacheField>
    <cacheField name="Gross Profit" numFmtId="0">
      <sharedItems containsSemiMixedTypes="0" containsString="0" containsNumber="1" minValue="102.5" maxValue="30750"/>
    </cacheField>
    <cacheField name="Payment Method" numFmtId="0">
      <sharedItems count="4">
        <s v="UPI"/>
        <s v="Debit Card"/>
        <s v="Credit Card"/>
        <s v="Cash"/>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a Kumar" refreshedDate="46167.539084837961" backgroundQuery="1" createdVersion="8" refreshedVersion="8" minRefreshableVersion="3" recordCount="0" supportSubquery="1" supportAdvancedDrill="1" xr:uid="{B2E62158-1CD0-4129-9AB5-907D12074B0F}">
  <cacheSource type="external" connectionId="1"/>
  <cacheFields count="9">
    <cacheField name="[Table3].[Product Line].[Product Line]" caption="Product Line" numFmtId="0" hierarchy="6" level="1">
      <sharedItems count="1">
        <s v="Furniture"/>
      </sharedItems>
    </cacheField>
    <cacheField name="[Measures].[Sum of Total Revenue]" caption="Sum of Total Revenue" numFmtId="0" hierarchy="17" level="32767"/>
    <cacheField name="[Table3].[Branch].[Branch]" caption="Branch" numFmtId="0" hierarchy="4" level="1">
      <sharedItems count="1">
        <s v="Branch B"/>
      </sharedItems>
    </cacheField>
    <cacheField name="[Table3].[Month].[Month]" caption="Month" numFmtId="0" hierarchy="3" level="1">
      <sharedItems containsSemiMixedTypes="0" containsNonDate="0" containsString="0"/>
    </cacheField>
    <cacheField name="[Table3].[Gender].[Gender]" caption="Gender" numFmtId="0" hierarchy="5" level="1">
      <sharedItems containsSemiMixedTypes="0" containsNonDate="0" containsString="0"/>
    </cacheField>
    <cacheField name="[Table3].[Payment Method].[Payment Method]" caption="Payment Method" numFmtId="0" hierarchy="13" level="1">
      <sharedItems containsSemiMixedTypes="0" containsNonDate="0" containsString="0"/>
    </cacheField>
    <cacheField name="[Measures].[Sum of Gross Profit]" caption="Sum of Gross Profit" numFmtId="0" hierarchy="19" level="32767"/>
    <cacheField name="[Measures].[Sum of Costs of Goods Sold]" caption="Sum of Costs of Goods Sold" numFmtId="0" hierarchy="18" level="32767"/>
    <cacheField name="[Measures].[Sum of Tax (5%)]" caption="Sum of Tax (5%)" numFmtId="0" hierarchy="16" level="32767"/>
  </cacheFields>
  <cacheHierarchies count="23">
    <cacheHierarchy uniqueName="[Table3].[Invoice ID]" caption="Invoice ID" attribute="1" defaultMemberUniqueName="[Table3].[Invoice ID].[All]" allUniqueName="[Table3].[Invoice ID].[All]" dimensionUniqueName="[Table3]" displayFolder="" count="2" memberValueDatatype="20" unbalanced="0"/>
    <cacheHierarchy uniqueName="[Table3].[Date]" caption="Date" attribute="1" time="1" defaultMemberUniqueName="[Table3].[Date].[All]" allUniqueName="[Table3].[Date].[All]" dimensionUniqueName="[Table3]" displayFolder="" count="2" memberValueDatatype="7" unbalanced="0"/>
    <cacheHierarchy uniqueName="[Table3].[Year]" caption="Year" attribute="1" defaultMemberUniqueName="[Table3].[Year].[All]" allUniqueName="[Table3].[Year].[All]" dimensionUniqueName="[Table3]" displayFolder="" count="2" memberValueDatatype="20" unbalanced="0"/>
    <cacheHierarchy uniqueName="[Table3].[Month]" caption="Month" attribute="1" time="1" defaultMemberUniqueName="[Table3].[Month].[All]" allUniqueName="[Table3].[Month].[All]" dimensionUniqueName="[Table3]" displayFolder="" count="2" memberValueDatatype="7" unbalanced="0">
      <fieldsUsage count="2">
        <fieldUsage x="-1"/>
        <fieldUsage x="3"/>
      </fieldsUsage>
    </cacheHierarchy>
    <cacheHierarchy uniqueName="[Table3].[Branch]" caption="Branch" attribute="1" defaultMemberUniqueName="[Table3].[Branch].[All]" allUniqueName="[Table3].[Branch].[All]" dimensionUniqueName="[Table3]" displayFolder="" count="2" memberValueDatatype="130" unbalanced="0">
      <fieldsUsage count="2">
        <fieldUsage x="-1"/>
        <fieldUsage x="2"/>
      </fieldsUsage>
    </cacheHierarchy>
    <cacheHierarchy uniqueName="[Table3].[Gender]" caption="Gender" attribute="1" defaultMemberUniqueName="[Table3].[Gender].[All]" allUniqueName="[Table3].[Gender].[All]" dimensionUniqueName="[Table3]" displayFolder="" count="2" memberValueDatatype="130" unbalanced="0">
      <fieldsUsage count="2">
        <fieldUsage x="-1"/>
        <fieldUsage x="4"/>
      </fieldsUsage>
    </cacheHierarchy>
    <cacheHierarchy uniqueName="[Table3].[Product Line]" caption="Product Line" attribute="1" defaultMemberUniqueName="[Table3].[Product Line].[All]" allUniqueName="[Table3].[Product Line].[All]" dimensionUniqueName="[Table3]" displayFolder="" count="2" memberValueDatatype="130" unbalanced="0">
      <fieldsUsage count="2">
        <fieldUsage x="-1"/>
        <fieldUsage x="0"/>
      </fieldsUsage>
    </cacheHierarchy>
    <cacheHierarchy uniqueName="[Table3].[Unit Price]" caption="Unit Price" attribute="1" defaultMemberUniqueName="[Table3].[Unit Price].[All]" allUniqueName="[Table3].[Unit Price].[All]" dimensionUniqueName="[Table3]" displayFolder="" count="2" memberValueDatatype="20" unbalanced="0"/>
    <cacheHierarchy uniqueName="[Table3].[Quantity]" caption="Quantity" attribute="1" defaultMemberUniqueName="[Table3].[Quantity].[All]" allUniqueName="[Table3].[Quantity].[All]" dimensionUniqueName="[Table3]" displayFolder="" count="2" memberValueDatatype="20" unbalanced="0"/>
    <cacheHierarchy uniqueName="[Table3].[Tax (5%)]" caption="Tax (5%)" attribute="1" defaultMemberUniqueName="[Table3].[Tax (5%)].[All]" allUniqueName="[Table3].[Tax (5%)].[All]" dimensionUniqueName="[Table3]" displayFolder="" count="2" memberValueDatatype="5" unbalanced="0"/>
    <cacheHierarchy uniqueName="[Table3].[Total Revenue]" caption="Total Revenue" attribute="1" defaultMemberUniqueName="[Table3].[Total Revenue].[All]" allUniqueName="[Table3].[Total Revenue].[All]" dimensionUniqueName="[Table3]" displayFolder="" count="2" memberValueDatatype="5" unbalanced="0"/>
    <cacheHierarchy uniqueName="[Table3].[Costs of Goods Sold]" caption="Costs of Goods Sold" attribute="1" defaultMemberUniqueName="[Table3].[Costs of Goods Sold].[All]" allUniqueName="[Table3].[Costs of Goods Sold].[All]" dimensionUniqueName="[Table3]" displayFolder="" count="2" memberValueDatatype="5" unbalanced="0"/>
    <cacheHierarchy uniqueName="[Table3].[Gross Profit]" caption="Gross Profit" attribute="1" defaultMemberUniqueName="[Table3].[Gross Profit].[All]" allUniqueName="[Table3].[Gross Profit].[All]" dimensionUniqueName="[Table3]" displayFolder="" count="2" memberValueDatatype="5" unbalanced="0"/>
    <cacheHierarchy uniqueName="[Table3].[Payment Method]" caption="Payment Method" attribute="1" defaultMemberUniqueName="[Table3].[Payment Method].[All]" allUniqueName="[Table3].[Payment Method].[All]" dimensionUniqueName="[Table3]" displayFolder="" count="2" memberValueDatatype="130" unbalanced="0">
      <fieldsUsage count="2">
        <fieldUsage x="-1"/>
        <fieldUsage x="5"/>
      </fieldsUsage>
    </cacheHierarchy>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ax (5%)]" caption="Sum of Tax (5%)" measure="1" displayFolder="" measureGroup="Table3" count="0" oneField="1" hidden="1">
      <fieldsUsage count="1">
        <fieldUsage x="8"/>
      </fieldsUsage>
      <extLst>
        <ext xmlns:x15="http://schemas.microsoft.com/office/spreadsheetml/2010/11/main" uri="{B97F6D7D-B522-45F9-BDA1-12C45D357490}">
          <x15:cacheHierarchy aggregatedColumn="9"/>
        </ext>
      </extLst>
    </cacheHierarchy>
    <cacheHierarchy uniqueName="[Measures].[Sum of Total Revenue]" caption="Sum of Total Revenue" measure="1" displayFolder="" measureGroup="Table3"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Costs of Goods Sold]" caption="Sum of Costs of Goods Sold" measure="1" displayFolder="" measureGroup="Table3" count="0" oneField="1" hidden="1">
      <fieldsUsage count="1">
        <fieldUsage x="7"/>
      </fieldsUsage>
      <extLst>
        <ext xmlns:x15="http://schemas.microsoft.com/office/spreadsheetml/2010/11/main" uri="{B97F6D7D-B522-45F9-BDA1-12C45D357490}">
          <x15:cacheHierarchy aggregatedColumn="11"/>
        </ext>
      </extLst>
    </cacheHierarchy>
    <cacheHierarchy uniqueName="[Measures].[Sum of Gross Profit]" caption="Sum of Gross Profit" measure="1" displayFolder="" measureGroup="Table3" count="0" oneField="1" hidden="1">
      <fieldsUsage count="1">
        <fieldUsage x="6"/>
      </fieldsUsage>
      <extLst>
        <ext xmlns:x15="http://schemas.microsoft.com/office/spreadsheetml/2010/11/main" uri="{B97F6D7D-B522-45F9-BDA1-12C45D357490}">
          <x15:cacheHierarchy aggregatedColumn="12"/>
        </ext>
      </extLst>
    </cacheHierarchy>
    <cacheHierarchy uniqueName="[Measures].[Max of Total Revenue]" caption="Max of Total Revenue" measure="1" displayFolder="" measureGroup="Table3" count="0" hidden="1">
      <extLst>
        <ext xmlns:x15="http://schemas.microsoft.com/office/spreadsheetml/2010/11/main" uri="{B97F6D7D-B522-45F9-BDA1-12C45D357490}">
          <x15:cacheHierarchy aggregatedColumn="10"/>
        </ext>
      </extLst>
    </cacheHierarchy>
    <cacheHierarchy uniqueName="[Measures].[Sum of Quantity]" caption="Sum of Quantity" measure="1" displayFolder="" measureGroup="Table3" count="0" hidden="1">
      <extLst>
        <ext xmlns:x15="http://schemas.microsoft.com/office/spreadsheetml/2010/11/main" uri="{B97F6D7D-B522-45F9-BDA1-12C45D357490}">
          <x15:cacheHierarchy aggregatedColumn="8"/>
        </ext>
      </extLst>
    </cacheHierarchy>
    <cacheHierarchy uniqueName="[Measures].[Sum of Unit Price]" caption="Sum of Unit Price" measure="1" displayFolder="" measureGroup="Table3"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3" uniqueName="[Table3]" caption="Table3"/>
  </dimensions>
  <measureGroups count="1">
    <measureGroup name="Table3" caption="Table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a Kumar" refreshedDate="46165.782547916664" backgroundQuery="1" createdVersion="3" refreshedVersion="8" minRefreshableVersion="3" recordCount="0" supportSubquery="1" supportAdvancedDrill="1" xr:uid="{B869E17E-09F7-4022-9174-9E425B948BDB}">
  <cacheSource type="external" connectionId="1">
    <extLst>
      <ext xmlns:x14="http://schemas.microsoft.com/office/spreadsheetml/2009/9/main" uri="{F057638F-6D5F-4e77-A914-E7F072B9BCA8}">
        <x14:sourceConnection name="ThisWorkbookDataModel"/>
      </ext>
    </extLst>
  </cacheSource>
  <cacheFields count="0"/>
  <cacheHierarchies count="23">
    <cacheHierarchy uniqueName="[Table3].[Invoice ID]" caption="Invoice ID" attribute="1" defaultMemberUniqueName="[Table3].[Invoice ID].[All]" allUniqueName="[Table3].[Invoice ID].[All]" dimensionUniqueName="[Table3]" displayFolder="" count="0" memberValueDatatype="20" unbalanced="0"/>
    <cacheHierarchy uniqueName="[Table3].[Date]" caption="Date" attribute="1" time="1" defaultMemberUniqueName="[Table3].[Date].[All]" allUniqueName="[Table3].[Date].[All]" dimensionUniqueName="[Table3]" displayFolder="" count="0" memberValueDatatype="7" unbalanced="0"/>
    <cacheHierarchy uniqueName="[Table3].[Year]" caption="Year" attribute="1" defaultMemberUniqueName="[Table3].[Year].[All]" allUniqueName="[Table3].[Year].[All]" dimensionUniqueName="[Table3]" displayFolder="" count="0" memberValueDatatype="20" unbalanced="0"/>
    <cacheHierarchy uniqueName="[Table3].[Month]" caption="Month" attribute="1" time="1" defaultMemberUniqueName="[Table3].[Month].[All]" allUniqueName="[Table3].[Month].[All]" dimensionUniqueName="[Table3]" displayFolder="" count="2" memberValueDatatype="7" unbalanced="0"/>
    <cacheHierarchy uniqueName="[Table3].[Branch]" caption="Branch" attribute="1" defaultMemberUniqueName="[Table3].[Branch].[All]" allUniqueName="[Table3].[Branch].[All]" dimensionUniqueName="[Table3]" displayFolder="" count="2" memberValueDatatype="130" unbalanced="0"/>
    <cacheHierarchy uniqueName="[Table3].[Gender]" caption="Gender" attribute="1" defaultMemberUniqueName="[Table3].[Gender].[All]" allUniqueName="[Table3].[Gender].[All]" dimensionUniqueName="[Table3]" displayFolder="" count="2" memberValueDatatype="130" unbalanced="0"/>
    <cacheHierarchy uniqueName="[Table3].[Product Line]" caption="Product Line" attribute="1" defaultMemberUniqueName="[Table3].[Product Line].[All]" allUniqueName="[Table3].[Product Line].[All]" dimensionUniqueName="[Table3]" displayFolder="" count="2" memberValueDatatype="130" unbalanced="0"/>
    <cacheHierarchy uniqueName="[Table3].[Unit Price]" caption="Unit Price" attribute="1" defaultMemberUniqueName="[Table3].[Unit Price].[All]" allUniqueName="[Table3].[Unit Price].[All]" dimensionUniqueName="[Table3]" displayFolder="" count="0" memberValueDatatype="20" unbalanced="0"/>
    <cacheHierarchy uniqueName="[Table3].[Quantity]" caption="Quantity" attribute="1" defaultMemberUniqueName="[Table3].[Quantity].[All]" allUniqueName="[Table3].[Quantity].[All]" dimensionUniqueName="[Table3]" displayFolder="" count="0" memberValueDatatype="20" unbalanced="0"/>
    <cacheHierarchy uniqueName="[Table3].[Tax (5%)]" caption="Tax (5%)" attribute="1" defaultMemberUniqueName="[Table3].[Tax (5%)].[All]" allUniqueName="[Table3].[Tax (5%)].[All]" dimensionUniqueName="[Table3]" displayFolder="" count="0" memberValueDatatype="5" unbalanced="0"/>
    <cacheHierarchy uniqueName="[Table3].[Total Revenue]" caption="Total Revenue" attribute="1" defaultMemberUniqueName="[Table3].[Total Revenue].[All]" allUniqueName="[Table3].[Total Revenue].[All]" dimensionUniqueName="[Table3]" displayFolder="" count="0" memberValueDatatype="5" unbalanced="0"/>
    <cacheHierarchy uniqueName="[Table3].[Costs of Goods Sold]" caption="Costs of Goods Sold" attribute="1" defaultMemberUniqueName="[Table3].[Costs of Goods Sold].[All]" allUniqueName="[Table3].[Costs of Goods Sold].[All]" dimensionUniqueName="[Table3]" displayFolder="" count="0" memberValueDatatype="5" unbalanced="0"/>
    <cacheHierarchy uniqueName="[Table3].[Gross Profit]" caption="Gross Profit" attribute="1" defaultMemberUniqueName="[Table3].[Gross Profit].[All]" allUniqueName="[Table3].[Gross Profit].[All]" dimensionUniqueName="[Table3]" displayFolder="" count="0" memberValueDatatype="5" unbalanced="0"/>
    <cacheHierarchy uniqueName="[Table3].[Payment Method]" caption="Payment Method" attribute="1" defaultMemberUniqueName="[Table3].[Payment Method].[All]" allUniqueName="[Table3].[Payment Method].[All]" dimensionUniqueName="[Table3]" displayFolder="" count="2" memberValueDatatype="130" unbalanced="0"/>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ax (5%)]" caption="Sum of Tax (5%)" measure="1" displayFolder="" measureGroup="Table3" count="0" hidden="1">
      <extLst>
        <ext xmlns:x15="http://schemas.microsoft.com/office/spreadsheetml/2010/11/main" uri="{B97F6D7D-B522-45F9-BDA1-12C45D357490}">
          <x15:cacheHierarchy aggregatedColumn="9"/>
        </ext>
      </extLst>
    </cacheHierarchy>
    <cacheHierarchy uniqueName="[Measures].[Sum of Total Revenue]" caption="Sum of Total Revenue" measure="1" displayFolder="" measureGroup="Table3" count="0" hidden="1">
      <extLst>
        <ext xmlns:x15="http://schemas.microsoft.com/office/spreadsheetml/2010/11/main" uri="{B97F6D7D-B522-45F9-BDA1-12C45D357490}">
          <x15:cacheHierarchy aggregatedColumn="10"/>
        </ext>
      </extLst>
    </cacheHierarchy>
    <cacheHierarchy uniqueName="[Measures].[Sum of Costs of Goods Sold]" caption="Sum of Costs of Goods Sold" measure="1" displayFolder="" measureGroup="Table3" count="0" hidden="1">
      <extLst>
        <ext xmlns:x15="http://schemas.microsoft.com/office/spreadsheetml/2010/11/main" uri="{B97F6D7D-B522-45F9-BDA1-12C45D357490}">
          <x15:cacheHierarchy aggregatedColumn="11"/>
        </ext>
      </extLst>
    </cacheHierarchy>
    <cacheHierarchy uniqueName="[Measures].[Sum of Gross Profit]" caption="Sum of Gross Profit" measure="1" displayFolder="" measureGroup="Table3" count="0" hidden="1">
      <extLst>
        <ext xmlns:x15="http://schemas.microsoft.com/office/spreadsheetml/2010/11/main" uri="{B97F6D7D-B522-45F9-BDA1-12C45D357490}">
          <x15:cacheHierarchy aggregatedColumn="12"/>
        </ext>
      </extLst>
    </cacheHierarchy>
    <cacheHierarchy uniqueName="[Measures].[Max of Total Revenue]" caption="Max of Total Revenue" measure="1" displayFolder="" measureGroup="Table3" count="0" hidden="1">
      <extLst>
        <ext xmlns:x15="http://schemas.microsoft.com/office/spreadsheetml/2010/11/main" uri="{B97F6D7D-B522-45F9-BDA1-12C45D357490}">
          <x15:cacheHierarchy aggregatedColumn="10"/>
        </ext>
      </extLst>
    </cacheHierarchy>
    <cacheHierarchy uniqueName="[Measures].[Sum of Quantity]" caption="Sum of Quantity" measure="1" displayFolder="" measureGroup="Table3" count="0" hidden="1">
      <extLst>
        <ext xmlns:x15="http://schemas.microsoft.com/office/spreadsheetml/2010/11/main" uri="{B97F6D7D-B522-45F9-BDA1-12C45D357490}">
          <x15:cacheHierarchy aggregatedColumn="8"/>
        </ext>
      </extLst>
    </cacheHierarchy>
    <cacheHierarchy uniqueName="[Measures].[Sum of Unit Price]" caption="Sum of Unit Price" measure="1" displayFolder="" measureGroup="Table3"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341391792"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x v="0"/>
    <x v="0"/>
    <n v="2025"/>
    <x v="0"/>
    <x v="0"/>
    <x v="0"/>
    <x v="0"/>
    <n v="3500"/>
    <n v="2"/>
    <n v="175"/>
    <n v="7175"/>
    <n v="5381.25"/>
    <n v="1793.75"/>
    <x v="0"/>
  </r>
  <r>
    <x v="1"/>
    <x v="1"/>
    <n v="2025"/>
    <x v="0"/>
    <x v="1"/>
    <x v="0"/>
    <x v="1"/>
    <n v="200"/>
    <n v="2"/>
    <n v="10"/>
    <n v="410"/>
    <n v="307.5"/>
    <n v="102.5"/>
    <x v="0"/>
  </r>
  <r>
    <x v="2"/>
    <x v="2"/>
    <n v="2025"/>
    <x v="0"/>
    <x v="0"/>
    <x v="1"/>
    <x v="2"/>
    <n v="350"/>
    <n v="3"/>
    <n v="17.5"/>
    <n v="1067.5"/>
    <n v="800.625"/>
    <n v="266.875"/>
    <x v="1"/>
  </r>
  <r>
    <x v="3"/>
    <x v="3"/>
    <n v="2025"/>
    <x v="0"/>
    <x v="2"/>
    <x v="0"/>
    <x v="3"/>
    <n v="1600"/>
    <n v="1"/>
    <n v="80"/>
    <n v="1680"/>
    <n v="1260"/>
    <n v="420"/>
    <x v="2"/>
  </r>
  <r>
    <x v="4"/>
    <x v="4"/>
    <n v="2025"/>
    <x v="0"/>
    <x v="1"/>
    <x v="1"/>
    <x v="0"/>
    <n v="5600"/>
    <n v="1"/>
    <n v="280"/>
    <n v="5880"/>
    <n v="4410"/>
    <n v="1470"/>
    <x v="3"/>
  </r>
  <r>
    <x v="5"/>
    <x v="5"/>
    <n v="2025"/>
    <x v="0"/>
    <x v="2"/>
    <x v="1"/>
    <x v="4"/>
    <n v="800"/>
    <n v="5"/>
    <n v="40"/>
    <n v="4040"/>
    <n v="3030"/>
    <n v="1010"/>
    <x v="1"/>
  </r>
  <r>
    <x v="6"/>
    <x v="6"/>
    <n v="2025"/>
    <x v="1"/>
    <x v="0"/>
    <x v="0"/>
    <x v="3"/>
    <n v="3500"/>
    <n v="3"/>
    <n v="175"/>
    <n v="10675"/>
    <n v="8006.25"/>
    <n v="2668.75"/>
    <x v="0"/>
  </r>
  <r>
    <x v="7"/>
    <x v="7"/>
    <n v="2025"/>
    <x v="1"/>
    <x v="1"/>
    <x v="0"/>
    <x v="1"/>
    <n v="350"/>
    <n v="3"/>
    <n v="17.5"/>
    <n v="1067.5"/>
    <n v="800.625"/>
    <n v="266.875"/>
    <x v="1"/>
  </r>
  <r>
    <x v="8"/>
    <x v="8"/>
    <n v="2025"/>
    <x v="1"/>
    <x v="2"/>
    <x v="1"/>
    <x v="5"/>
    <n v="800"/>
    <n v="2"/>
    <n v="40"/>
    <n v="1640"/>
    <n v="1230"/>
    <n v="410"/>
    <x v="1"/>
  </r>
  <r>
    <x v="9"/>
    <x v="9"/>
    <n v="2025"/>
    <x v="1"/>
    <x v="2"/>
    <x v="1"/>
    <x v="6"/>
    <n v="90000"/>
    <n v="1"/>
    <n v="4500"/>
    <n v="94500"/>
    <n v="70875"/>
    <n v="23625"/>
    <x v="3"/>
  </r>
  <r>
    <x v="10"/>
    <x v="10"/>
    <n v="2025"/>
    <x v="1"/>
    <x v="1"/>
    <x v="1"/>
    <x v="6"/>
    <n v="60000"/>
    <n v="2"/>
    <n v="3000"/>
    <n v="123000"/>
    <n v="92250"/>
    <n v="30750"/>
    <x v="3"/>
  </r>
  <r>
    <x v="11"/>
    <x v="11"/>
    <n v="2025"/>
    <x v="1"/>
    <x v="0"/>
    <x v="0"/>
    <x v="5"/>
    <n v="1300"/>
    <n v="4"/>
    <n v="65"/>
    <n v="5265"/>
    <n v="3948.75"/>
    <n v="1316.25"/>
    <x v="2"/>
  </r>
  <r>
    <x v="12"/>
    <x v="12"/>
    <n v="2025"/>
    <x v="1"/>
    <x v="1"/>
    <x v="0"/>
    <x v="0"/>
    <n v="45000"/>
    <n v="1"/>
    <n v="2250"/>
    <n v="47250"/>
    <n v="35437.5"/>
    <n v="11812.5"/>
    <x v="0"/>
  </r>
  <r>
    <x v="13"/>
    <x v="13"/>
    <n v="2025"/>
    <x v="1"/>
    <x v="1"/>
    <x v="0"/>
    <x v="3"/>
    <n v="2000"/>
    <n v="3"/>
    <n v="100"/>
    <n v="6100"/>
    <n v="4575"/>
    <n v="1525"/>
    <x v="0"/>
  </r>
  <r>
    <x v="14"/>
    <x v="14"/>
    <n v="2025"/>
    <x v="2"/>
    <x v="0"/>
    <x v="1"/>
    <x v="0"/>
    <n v="3500"/>
    <n v="2"/>
    <n v="175"/>
    <n v="7175"/>
    <n v="5381.25"/>
    <n v="1793.75"/>
    <x v="1"/>
  </r>
  <r>
    <x v="15"/>
    <x v="15"/>
    <n v="2025"/>
    <x v="2"/>
    <x v="1"/>
    <x v="1"/>
    <x v="1"/>
    <n v="200"/>
    <n v="2"/>
    <n v="10"/>
    <n v="410"/>
    <n v="307.5"/>
    <n v="102.5"/>
    <x v="2"/>
  </r>
  <r>
    <x v="16"/>
    <x v="16"/>
    <n v="2025"/>
    <x v="2"/>
    <x v="0"/>
    <x v="0"/>
    <x v="2"/>
    <n v="350"/>
    <n v="3"/>
    <n v="17.5"/>
    <n v="1067.5"/>
    <n v="800.625"/>
    <n v="266.875"/>
    <x v="3"/>
  </r>
  <r>
    <x v="17"/>
    <x v="17"/>
    <n v="2025"/>
    <x v="2"/>
    <x v="2"/>
    <x v="0"/>
    <x v="3"/>
    <n v="1600"/>
    <n v="1"/>
    <n v="80"/>
    <n v="1680"/>
    <n v="1260"/>
    <n v="420"/>
    <x v="0"/>
  </r>
  <r>
    <x v="18"/>
    <x v="18"/>
    <n v="2025"/>
    <x v="2"/>
    <x v="1"/>
    <x v="1"/>
    <x v="0"/>
    <n v="5600"/>
    <n v="1"/>
    <n v="280"/>
    <n v="5880"/>
    <n v="4410"/>
    <n v="1470"/>
    <x v="0"/>
  </r>
  <r>
    <x v="19"/>
    <x v="19"/>
    <n v="2025"/>
    <x v="2"/>
    <x v="2"/>
    <x v="0"/>
    <x v="4"/>
    <n v="800"/>
    <n v="5"/>
    <n v="40"/>
    <n v="4040"/>
    <n v="3030"/>
    <n v="1010"/>
    <x v="1"/>
  </r>
  <r>
    <x v="20"/>
    <x v="20"/>
    <n v="2025"/>
    <x v="2"/>
    <x v="0"/>
    <x v="1"/>
    <x v="3"/>
    <n v="3500"/>
    <n v="3"/>
    <n v="175"/>
    <n v="10675"/>
    <n v="8006.25"/>
    <n v="2668.75"/>
    <x v="2"/>
  </r>
  <r>
    <x v="21"/>
    <x v="21"/>
    <n v="2025"/>
    <x v="2"/>
    <x v="1"/>
    <x v="1"/>
    <x v="1"/>
    <n v="350"/>
    <n v="3"/>
    <n v="17.5"/>
    <n v="1067.5"/>
    <n v="800.625"/>
    <n v="266.875"/>
    <x v="3"/>
  </r>
  <r>
    <x v="22"/>
    <x v="22"/>
    <n v="2025"/>
    <x v="3"/>
    <x v="2"/>
    <x v="0"/>
    <x v="5"/>
    <n v="800"/>
    <n v="2"/>
    <n v="40"/>
    <n v="1640"/>
    <n v="1230"/>
    <n v="410"/>
    <x v="1"/>
  </r>
  <r>
    <x v="23"/>
    <x v="23"/>
    <n v="2025"/>
    <x v="3"/>
    <x v="2"/>
    <x v="0"/>
    <x v="6"/>
    <n v="90000"/>
    <n v="1"/>
    <n v="4500"/>
    <n v="94500"/>
    <n v="70875"/>
    <n v="23625"/>
    <x v="0"/>
  </r>
  <r>
    <x v="24"/>
    <x v="24"/>
    <n v="2025"/>
    <x v="3"/>
    <x v="1"/>
    <x v="1"/>
    <x v="6"/>
    <n v="60000"/>
    <n v="2"/>
    <n v="3000"/>
    <n v="123000"/>
    <n v="92250"/>
    <n v="30750"/>
    <x v="1"/>
  </r>
  <r>
    <x v="25"/>
    <x v="25"/>
    <n v="2025"/>
    <x v="3"/>
    <x v="0"/>
    <x v="1"/>
    <x v="5"/>
    <n v="1300"/>
    <n v="4"/>
    <n v="65"/>
    <n v="5265"/>
    <n v="3948.75"/>
    <n v="1316.25"/>
    <x v="1"/>
  </r>
  <r>
    <x v="26"/>
    <x v="26"/>
    <n v="2025"/>
    <x v="3"/>
    <x v="1"/>
    <x v="1"/>
    <x v="0"/>
    <n v="45000"/>
    <n v="1"/>
    <n v="2250"/>
    <n v="47250"/>
    <n v="35437.5"/>
    <n v="11812.5"/>
    <x v="3"/>
  </r>
  <r>
    <x v="27"/>
    <x v="27"/>
    <n v="2025"/>
    <x v="3"/>
    <x v="1"/>
    <x v="0"/>
    <x v="3"/>
    <n v="2000"/>
    <n v="3"/>
    <n v="100"/>
    <n v="6100"/>
    <n v="4575"/>
    <n v="1525"/>
    <x v="3"/>
  </r>
  <r>
    <x v="28"/>
    <x v="28"/>
    <n v="2025"/>
    <x v="3"/>
    <x v="0"/>
    <x v="0"/>
    <x v="0"/>
    <n v="3500"/>
    <n v="2"/>
    <n v="175"/>
    <n v="7175"/>
    <n v="5381.25"/>
    <n v="1793.75"/>
    <x v="2"/>
  </r>
  <r>
    <x v="29"/>
    <x v="29"/>
    <n v="2025"/>
    <x v="4"/>
    <x v="1"/>
    <x v="0"/>
    <x v="1"/>
    <n v="200"/>
    <n v="2"/>
    <n v="10"/>
    <n v="410"/>
    <n v="307.5"/>
    <n v="102.5"/>
    <x v="0"/>
  </r>
  <r>
    <x v="30"/>
    <x v="30"/>
    <n v="2025"/>
    <x v="4"/>
    <x v="0"/>
    <x v="1"/>
    <x v="2"/>
    <n v="350"/>
    <n v="3"/>
    <n v="17.5"/>
    <n v="1067.5"/>
    <n v="800.625"/>
    <n v="266.875"/>
    <x v="0"/>
  </r>
  <r>
    <x v="31"/>
    <x v="31"/>
    <n v="2025"/>
    <x v="4"/>
    <x v="2"/>
    <x v="1"/>
    <x v="3"/>
    <n v="1600"/>
    <n v="1"/>
    <n v="80"/>
    <n v="1680"/>
    <n v="1260"/>
    <n v="420"/>
    <x v="1"/>
  </r>
  <r>
    <x v="32"/>
    <x v="32"/>
    <n v="2025"/>
    <x v="4"/>
    <x v="1"/>
    <x v="0"/>
    <x v="0"/>
    <n v="5600"/>
    <n v="1"/>
    <n v="280"/>
    <n v="5880"/>
    <n v="4410"/>
    <n v="1470"/>
    <x v="2"/>
  </r>
  <r>
    <x v="33"/>
    <x v="33"/>
    <n v="2025"/>
    <x v="4"/>
    <x v="2"/>
    <x v="0"/>
    <x v="4"/>
    <n v="800"/>
    <n v="5"/>
    <n v="40"/>
    <n v="4040"/>
    <n v="3030"/>
    <n v="1010"/>
    <x v="3"/>
  </r>
  <r>
    <x v="34"/>
    <x v="34"/>
    <n v="2025"/>
    <x v="4"/>
    <x v="0"/>
    <x v="1"/>
    <x v="3"/>
    <n v="3500"/>
    <n v="3"/>
    <n v="175"/>
    <n v="10675"/>
    <n v="8006.25"/>
    <n v="2668.75"/>
    <x v="0"/>
  </r>
  <r>
    <x v="35"/>
    <x v="35"/>
    <n v="2025"/>
    <x v="4"/>
    <x v="1"/>
    <x v="0"/>
    <x v="1"/>
    <n v="350"/>
    <n v="3"/>
    <n v="17.5"/>
    <n v="1067.5"/>
    <n v="800.625"/>
    <n v="266.875"/>
    <x v="0"/>
  </r>
  <r>
    <x v="36"/>
    <x v="36"/>
    <n v="2025"/>
    <x v="5"/>
    <x v="2"/>
    <x v="1"/>
    <x v="5"/>
    <n v="800"/>
    <n v="2"/>
    <n v="40"/>
    <n v="1640"/>
    <n v="1230"/>
    <n v="410"/>
    <x v="1"/>
  </r>
  <r>
    <x v="37"/>
    <x v="37"/>
    <n v="2025"/>
    <x v="5"/>
    <x v="2"/>
    <x v="1"/>
    <x v="6"/>
    <n v="90000"/>
    <n v="1"/>
    <n v="4500"/>
    <n v="94500"/>
    <n v="70875"/>
    <n v="23625"/>
    <x v="2"/>
  </r>
  <r>
    <x v="38"/>
    <x v="38"/>
    <n v="2025"/>
    <x v="5"/>
    <x v="1"/>
    <x v="0"/>
    <x v="6"/>
    <n v="60000"/>
    <n v="2"/>
    <n v="3000"/>
    <n v="123000"/>
    <n v="92250"/>
    <n v="30750"/>
    <x v="3"/>
  </r>
  <r>
    <x v="39"/>
    <x v="39"/>
    <n v="2025"/>
    <x v="5"/>
    <x v="0"/>
    <x v="0"/>
    <x v="5"/>
    <n v="1300"/>
    <n v="4"/>
    <n v="65"/>
    <n v="5265"/>
    <n v="3948.75"/>
    <n v="1316.25"/>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44D865-75DE-44EE-B30E-B9DA54312F7F}"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K8:L16" firstHeaderRow="1" firstDataRow="1" firstDataCol="1" rowPageCount="2" colPageCount="1"/>
  <pivotFields count="14">
    <pivotField showAll="0"/>
    <pivotField numFmtId="164" showAll="0"/>
    <pivotField showAll="0"/>
    <pivotField numFmtId="16" showAll="0"/>
    <pivotField axis="axisPage" showAll="0">
      <items count="4">
        <item x="0"/>
        <item x="1"/>
        <item x="2"/>
        <item t="default"/>
      </items>
    </pivotField>
    <pivotField showAll="0"/>
    <pivotField axis="axisRow" showAll="0">
      <items count="8">
        <item x="4"/>
        <item x="3"/>
        <item x="0"/>
        <item x="2"/>
        <item x="6"/>
        <item x="1"/>
        <item x="5"/>
        <item t="default"/>
      </items>
    </pivotField>
    <pivotField showAll="0"/>
    <pivotField showAll="0"/>
    <pivotField showAll="0"/>
    <pivotField showAll="0"/>
    <pivotField showAll="0"/>
    <pivotField dataField="1" showAll="0"/>
    <pivotField axis="axisPage" showAll="0">
      <items count="5">
        <item x="3"/>
        <item x="2"/>
        <item x="1"/>
        <item x="0"/>
        <item t="default"/>
      </items>
    </pivotField>
  </pivotFields>
  <rowFields count="1">
    <field x="6"/>
  </rowFields>
  <rowItems count="8">
    <i>
      <x/>
    </i>
    <i>
      <x v="1"/>
    </i>
    <i>
      <x v="2"/>
    </i>
    <i>
      <x v="3"/>
    </i>
    <i>
      <x v="4"/>
    </i>
    <i>
      <x v="5"/>
    </i>
    <i>
      <x v="6"/>
    </i>
    <i t="grand">
      <x/>
    </i>
  </rowItems>
  <colItems count="1">
    <i/>
  </colItems>
  <pageFields count="2">
    <pageField fld="4" hier="-1"/>
    <pageField fld="13" hier="-1"/>
  </pageFields>
  <dataFields count="1">
    <dataField name="Sum of Gross Profit" fld="12"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E59C65-929E-4161-8877-ED8B8E8D6D31}" name="PivotTable1" cacheId="1" dataOnRows="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A8:C18" firstHeaderRow="1" firstDataRow="2" firstDataCol="1" rowPageCount="3" colPageCount="1"/>
  <pivotFields count="9">
    <pivotField axis="axisRow" allDrilled="1" subtotalTop="0" showAll="0" dataSourceSort="1" defaultSubtotal="0" defaultAttributeDrillState="1">
      <items count="1">
        <item x="0"/>
      </items>
    </pivotField>
    <pivotField dataField="1" subtotalTop="0" showAll="0" defaultSubtotal="0"/>
    <pivotField axis="axisCol" allDrilled="1" subtotalTop="0" showAll="0" dataSourceSort="1" defaultSubtotal="0" defaultAttributeDrillState="1">
      <items count="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dataField="1" subtotalTop="0" showAll="0" defaultSubtotal="0"/>
    <pivotField dataField="1" subtotalTop="0" showAll="0" defaultSubtotal="0"/>
  </pivotFields>
  <rowFields count="2">
    <field x="0"/>
    <field x="-2"/>
  </rowFields>
  <rowItems count="9">
    <i>
      <x/>
    </i>
    <i r="1">
      <x/>
    </i>
    <i r="1" i="1">
      <x v="1"/>
    </i>
    <i r="1" i="2">
      <x v="2"/>
    </i>
    <i r="1" i="3">
      <x v="3"/>
    </i>
    <i t="grand">
      <x/>
    </i>
    <i t="grand" i="1">
      <x/>
    </i>
    <i t="grand" i="2">
      <x/>
    </i>
    <i t="grand" i="3">
      <x/>
    </i>
  </rowItems>
  <colFields count="1">
    <field x="2"/>
  </colFields>
  <colItems count="2">
    <i>
      <x/>
    </i>
    <i t="grand">
      <x/>
    </i>
  </colItems>
  <pageFields count="3">
    <pageField fld="3" hier="3" name="[Table3].[Month].&amp;[1900-01-06T00:00:00]" cap="1/6/1900"/>
    <pageField fld="4" hier="5" name="[Table3].[Gender].[All]" cap="All"/>
    <pageField fld="5" hier="13" name="[Table3].[Payment Method].&amp;[Cash]" cap="Cash"/>
  </pageFields>
  <dataFields count="4">
    <dataField name="Sum of Tax (5%)" fld="8" baseField="0" baseItem="0"/>
    <dataField name="Sum of Total Revenue" fld="1" baseField="0" baseItem="0"/>
    <dataField name="Sum of Gross Profit" fld="6" baseField="0" baseItem="0"/>
    <dataField name="Sum of Costs of Goods Sold" fld="7" baseField="0" baseItem="0"/>
  </dataFields>
  <formats count="1">
    <format dxfId="0">
      <pivotArea type="all" dataOnly="0" outline="0" fieldPosition="0"/>
    </format>
  </formats>
  <pivotHierarchies count="23">
    <pivotHierarchy dragToData="1"/>
    <pivotHierarchy dragToData="1"/>
    <pivotHierarchy dragToData="1"/>
    <pivotHierarchy multipleItemSelectionAllowed="1" dragToData="1">
      <members count="1" level="1">
        <member name="[Table3].[Month].&amp;[1900-01-06T00:00:00]"/>
      </members>
    </pivotHierarchy>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Table3].[Payment Method].&amp;[Cash]"/>
      </members>
    </pivotHierarchy>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6"/>
    <rowHierarchyUsage hierarchyUsage="-2"/>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lectronics Sales Data 2025.xlsx!Table3">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3B2E0DE-4B63-444E-9E2F-061C417C9C2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G34:H56" firstHeaderRow="1" firstDataRow="1" firstDataCol="1"/>
  <pivotFields count="14">
    <pivotField showAll="0"/>
    <pivotField numFmtId="164" showAll="0"/>
    <pivotField showAll="0"/>
    <pivotField numFmtId="16" showAll="0"/>
    <pivotField showAll="0"/>
    <pivotField axis="axisRow" showAll="0">
      <items count="3">
        <item x="1"/>
        <item x="0"/>
        <item t="default"/>
      </items>
    </pivotField>
    <pivotField axis="axisRow" showAll="0">
      <items count="8">
        <item x="4"/>
        <item x="3"/>
        <item x="0"/>
        <item x="2"/>
        <item x="6"/>
        <item x="1"/>
        <item x="5"/>
        <item t="default"/>
      </items>
    </pivotField>
    <pivotField showAll="0"/>
    <pivotField showAll="0"/>
    <pivotField showAll="0"/>
    <pivotField showAll="0"/>
    <pivotField dataField="1" showAll="0"/>
    <pivotField showAll="0"/>
    <pivotField showAll="0"/>
  </pivotFields>
  <rowFields count="2">
    <field x="6"/>
    <field x="5"/>
  </rowFields>
  <rowItems count="22">
    <i>
      <x/>
    </i>
    <i r="1">
      <x/>
    </i>
    <i r="1">
      <x v="1"/>
    </i>
    <i>
      <x v="1"/>
    </i>
    <i r="1">
      <x/>
    </i>
    <i r="1">
      <x v="1"/>
    </i>
    <i>
      <x v="2"/>
    </i>
    <i r="1">
      <x/>
    </i>
    <i r="1">
      <x v="1"/>
    </i>
    <i>
      <x v="3"/>
    </i>
    <i r="1">
      <x/>
    </i>
    <i r="1">
      <x v="1"/>
    </i>
    <i>
      <x v="4"/>
    </i>
    <i r="1">
      <x/>
    </i>
    <i r="1">
      <x v="1"/>
    </i>
    <i>
      <x v="5"/>
    </i>
    <i r="1">
      <x/>
    </i>
    <i r="1">
      <x v="1"/>
    </i>
    <i>
      <x v="6"/>
    </i>
    <i r="1">
      <x/>
    </i>
    <i r="1">
      <x v="1"/>
    </i>
    <i t="grand">
      <x/>
    </i>
  </rowItems>
  <colItems count="1">
    <i/>
  </colItems>
  <dataFields count="1">
    <dataField name="Sum of Costs of Goods Sold" fld="11" baseField="0" baseItem="0"/>
  </dataFields>
  <chartFormats count="22">
    <chartFormat chart="5" format="9" series="1">
      <pivotArea type="data" outline="0" fieldPosition="0">
        <references count="1">
          <reference field="4294967294" count="1" selected="0">
            <x v="0"/>
          </reference>
        </references>
      </pivotArea>
    </chartFormat>
    <chartFormat chart="5" format="10">
      <pivotArea type="data" outline="0" fieldPosition="0">
        <references count="2">
          <reference field="4294967294" count="1" selected="0">
            <x v="0"/>
          </reference>
          <reference field="6" count="1" selected="0">
            <x v="0"/>
          </reference>
        </references>
      </pivotArea>
    </chartFormat>
    <chartFormat chart="5" format="11">
      <pivotArea type="data" outline="0" fieldPosition="0">
        <references count="2">
          <reference field="4294967294" count="1" selected="0">
            <x v="0"/>
          </reference>
          <reference field="6" count="1" selected="0">
            <x v="1"/>
          </reference>
        </references>
      </pivotArea>
    </chartFormat>
    <chartFormat chart="5" format="12">
      <pivotArea type="data" outline="0" fieldPosition="0">
        <references count="2">
          <reference field="4294967294" count="1" selected="0">
            <x v="0"/>
          </reference>
          <reference field="6" count="1" selected="0">
            <x v="2"/>
          </reference>
        </references>
      </pivotArea>
    </chartFormat>
    <chartFormat chart="5" format="13">
      <pivotArea type="data" outline="0" fieldPosition="0">
        <references count="2">
          <reference field="4294967294" count="1" selected="0">
            <x v="0"/>
          </reference>
          <reference field="6" count="1" selected="0">
            <x v="3"/>
          </reference>
        </references>
      </pivotArea>
    </chartFormat>
    <chartFormat chart="5" format="14">
      <pivotArea type="data" outline="0" fieldPosition="0">
        <references count="2">
          <reference field="4294967294" count="1" selected="0">
            <x v="0"/>
          </reference>
          <reference field="6" count="1" selected="0">
            <x v="4"/>
          </reference>
        </references>
      </pivotArea>
    </chartFormat>
    <chartFormat chart="5" format="15">
      <pivotArea type="data" outline="0" fieldPosition="0">
        <references count="2">
          <reference field="4294967294" count="1" selected="0">
            <x v="0"/>
          </reference>
          <reference field="6" count="1" selected="0">
            <x v="5"/>
          </reference>
        </references>
      </pivotArea>
    </chartFormat>
    <chartFormat chart="5" format="16">
      <pivotArea type="data" outline="0" fieldPosition="0">
        <references count="2">
          <reference field="4294967294" count="1" selected="0">
            <x v="0"/>
          </reference>
          <reference field="6" count="1" selected="0">
            <x v="6"/>
          </reference>
        </references>
      </pivotArea>
    </chartFormat>
    <chartFormat chart="5" format="17">
      <pivotArea type="data" outline="0" fieldPosition="0">
        <references count="3">
          <reference field="4294967294" count="1" selected="0">
            <x v="0"/>
          </reference>
          <reference field="5" count="1" selected="0">
            <x v="0"/>
          </reference>
          <reference field="6" count="1" selected="0">
            <x v="0"/>
          </reference>
        </references>
      </pivotArea>
    </chartFormat>
    <chartFormat chart="5" format="18">
      <pivotArea type="data" outline="0" fieldPosition="0">
        <references count="3">
          <reference field="4294967294" count="1" selected="0">
            <x v="0"/>
          </reference>
          <reference field="5" count="1" selected="0">
            <x v="1"/>
          </reference>
          <reference field="6" count="1" selected="0">
            <x v="0"/>
          </reference>
        </references>
      </pivotArea>
    </chartFormat>
    <chartFormat chart="5" format="19">
      <pivotArea type="data" outline="0" fieldPosition="0">
        <references count="3">
          <reference field="4294967294" count="1" selected="0">
            <x v="0"/>
          </reference>
          <reference field="5" count="1" selected="0">
            <x v="0"/>
          </reference>
          <reference field="6" count="1" selected="0">
            <x v="1"/>
          </reference>
        </references>
      </pivotArea>
    </chartFormat>
    <chartFormat chart="5" format="20">
      <pivotArea type="data" outline="0" fieldPosition="0">
        <references count="3">
          <reference field="4294967294" count="1" selected="0">
            <x v="0"/>
          </reference>
          <reference field="5" count="1" selected="0">
            <x v="1"/>
          </reference>
          <reference field="6" count="1" selected="0">
            <x v="1"/>
          </reference>
        </references>
      </pivotArea>
    </chartFormat>
    <chartFormat chart="5" format="21">
      <pivotArea type="data" outline="0" fieldPosition="0">
        <references count="3">
          <reference field="4294967294" count="1" selected="0">
            <x v="0"/>
          </reference>
          <reference field="5" count="1" selected="0">
            <x v="0"/>
          </reference>
          <reference field="6" count="1" selected="0">
            <x v="2"/>
          </reference>
        </references>
      </pivotArea>
    </chartFormat>
    <chartFormat chart="5" format="22">
      <pivotArea type="data" outline="0" fieldPosition="0">
        <references count="3">
          <reference field="4294967294" count="1" selected="0">
            <x v="0"/>
          </reference>
          <reference field="5" count="1" selected="0">
            <x v="1"/>
          </reference>
          <reference field="6" count="1" selected="0">
            <x v="2"/>
          </reference>
        </references>
      </pivotArea>
    </chartFormat>
    <chartFormat chart="5" format="23">
      <pivotArea type="data" outline="0" fieldPosition="0">
        <references count="3">
          <reference field="4294967294" count="1" selected="0">
            <x v="0"/>
          </reference>
          <reference field="5" count="1" selected="0">
            <x v="0"/>
          </reference>
          <reference field="6" count="1" selected="0">
            <x v="3"/>
          </reference>
        </references>
      </pivotArea>
    </chartFormat>
    <chartFormat chart="5" format="24">
      <pivotArea type="data" outline="0" fieldPosition="0">
        <references count="3">
          <reference field="4294967294" count="1" selected="0">
            <x v="0"/>
          </reference>
          <reference field="5" count="1" selected="0">
            <x v="1"/>
          </reference>
          <reference field="6" count="1" selected="0">
            <x v="3"/>
          </reference>
        </references>
      </pivotArea>
    </chartFormat>
    <chartFormat chart="5" format="25">
      <pivotArea type="data" outline="0" fieldPosition="0">
        <references count="3">
          <reference field="4294967294" count="1" selected="0">
            <x v="0"/>
          </reference>
          <reference field="5" count="1" selected="0">
            <x v="0"/>
          </reference>
          <reference field="6" count="1" selected="0">
            <x v="4"/>
          </reference>
        </references>
      </pivotArea>
    </chartFormat>
    <chartFormat chart="5" format="26">
      <pivotArea type="data" outline="0" fieldPosition="0">
        <references count="3">
          <reference field="4294967294" count="1" selected="0">
            <x v="0"/>
          </reference>
          <reference field="5" count="1" selected="0">
            <x v="1"/>
          </reference>
          <reference field="6" count="1" selected="0">
            <x v="4"/>
          </reference>
        </references>
      </pivotArea>
    </chartFormat>
    <chartFormat chart="5" format="27">
      <pivotArea type="data" outline="0" fieldPosition="0">
        <references count="3">
          <reference field="4294967294" count="1" selected="0">
            <x v="0"/>
          </reference>
          <reference field="5" count="1" selected="0">
            <x v="0"/>
          </reference>
          <reference field="6" count="1" selected="0">
            <x v="5"/>
          </reference>
        </references>
      </pivotArea>
    </chartFormat>
    <chartFormat chart="5" format="28">
      <pivotArea type="data" outline="0" fieldPosition="0">
        <references count="3">
          <reference field="4294967294" count="1" selected="0">
            <x v="0"/>
          </reference>
          <reference field="5" count="1" selected="0">
            <x v="1"/>
          </reference>
          <reference field="6" count="1" selected="0">
            <x v="5"/>
          </reference>
        </references>
      </pivotArea>
    </chartFormat>
    <chartFormat chart="5" format="29">
      <pivotArea type="data" outline="0" fieldPosition="0">
        <references count="3">
          <reference field="4294967294" count="1" selected="0">
            <x v="0"/>
          </reference>
          <reference field="5" count="1" selected="0">
            <x v="0"/>
          </reference>
          <reference field="6" count="1" selected="0">
            <x v="6"/>
          </reference>
        </references>
      </pivotArea>
    </chartFormat>
    <chartFormat chart="5" format="30">
      <pivotArea type="data" outline="0" fieldPosition="0">
        <references count="3">
          <reference field="4294967294" count="1" selected="0">
            <x v="0"/>
          </reference>
          <reference field="5" count="1" selected="0">
            <x v="1"/>
          </reference>
          <reference field="6"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97676B9-C41E-464B-912A-4528E7E14B5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G18:I26" firstHeaderRow="0" firstDataRow="1" firstDataCol="1"/>
  <pivotFields count="14">
    <pivotField showAll="0"/>
    <pivotField numFmtId="164" showAll="0"/>
    <pivotField showAll="0"/>
    <pivotField numFmtId="16" showAll="0"/>
    <pivotField showAll="0"/>
    <pivotField showAll="0"/>
    <pivotField axis="axisRow" showAll="0">
      <items count="8">
        <item x="4"/>
        <item x="3"/>
        <item x="0"/>
        <item x="2"/>
        <item x="6"/>
        <item x="1"/>
        <item x="5"/>
        <item t="default"/>
      </items>
    </pivotField>
    <pivotField showAll="0"/>
    <pivotField showAll="0"/>
    <pivotField showAll="0"/>
    <pivotField showAll="0"/>
    <pivotField dataField="1" showAll="0"/>
    <pivotField dataField="1" showAll="0"/>
    <pivotField showAll="0"/>
  </pivotFields>
  <rowFields count="1">
    <field x="6"/>
  </rowFields>
  <rowItems count="8">
    <i>
      <x/>
    </i>
    <i>
      <x v="1"/>
    </i>
    <i>
      <x v="2"/>
    </i>
    <i>
      <x v="3"/>
    </i>
    <i>
      <x v="4"/>
    </i>
    <i>
      <x v="5"/>
    </i>
    <i>
      <x v="6"/>
    </i>
    <i t="grand">
      <x/>
    </i>
  </rowItems>
  <colFields count="1">
    <field x="-2"/>
  </colFields>
  <colItems count="2">
    <i>
      <x/>
    </i>
    <i i="1">
      <x v="1"/>
    </i>
  </colItems>
  <dataFields count="2">
    <dataField name="Sum of Gross Profit" fld="12" baseField="0" baseItem="0"/>
    <dataField name="Sum of Costs of Goods Sold" fld="11" baseField="0" baseItem="0"/>
  </dataFields>
  <chartFormats count="10">
    <chartFormat chart="2"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9" series="1">
      <pivotArea type="data" outline="0" fieldPosition="0">
        <references count="1">
          <reference field="4294967294" count="1" selected="0">
            <x v="0"/>
          </reference>
        </references>
      </pivotArea>
    </chartFormat>
    <chartFormat chart="19" format="10">
      <pivotArea type="data" outline="0" fieldPosition="0">
        <references count="2">
          <reference field="4294967294" count="1" selected="0">
            <x v="0"/>
          </reference>
          <reference field="6" count="1" selected="0">
            <x v="0"/>
          </reference>
        </references>
      </pivotArea>
    </chartFormat>
    <chartFormat chart="19" format="11">
      <pivotArea type="data" outline="0" fieldPosition="0">
        <references count="2">
          <reference field="4294967294" count="1" selected="0">
            <x v="0"/>
          </reference>
          <reference field="6" count="1" selected="0">
            <x v="1"/>
          </reference>
        </references>
      </pivotArea>
    </chartFormat>
    <chartFormat chart="19" format="12">
      <pivotArea type="data" outline="0" fieldPosition="0">
        <references count="2">
          <reference field="4294967294" count="1" selected="0">
            <x v="0"/>
          </reference>
          <reference field="6" count="1" selected="0">
            <x v="2"/>
          </reference>
        </references>
      </pivotArea>
    </chartFormat>
    <chartFormat chart="19" format="13">
      <pivotArea type="data" outline="0" fieldPosition="0">
        <references count="2">
          <reference field="4294967294" count="1" selected="0">
            <x v="0"/>
          </reference>
          <reference field="6" count="1" selected="0">
            <x v="3"/>
          </reference>
        </references>
      </pivotArea>
    </chartFormat>
    <chartFormat chart="19" format="14">
      <pivotArea type="data" outline="0" fieldPosition="0">
        <references count="2">
          <reference field="4294967294" count="1" selected="0">
            <x v="0"/>
          </reference>
          <reference field="6" count="1" selected="0">
            <x v="4"/>
          </reference>
        </references>
      </pivotArea>
    </chartFormat>
    <chartFormat chart="19" format="15">
      <pivotArea type="data" outline="0" fieldPosition="0">
        <references count="2">
          <reference field="4294967294" count="1" selected="0">
            <x v="0"/>
          </reference>
          <reference field="6" count="1" selected="0">
            <x v="5"/>
          </reference>
        </references>
      </pivotArea>
    </chartFormat>
    <chartFormat chart="19" format="16">
      <pivotArea type="data" outline="0" fieldPosition="0">
        <references count="2">
          <reference field="4294967294" count="1" selected="0">
            <x v="0"/>
          </reference>
          <reference field="6"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03D5EBB-9227-4EE7-8B14-27106C72DA9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G8:I16" firstHeaderRow="0" firstDataRow="1" firstDataCol="1"/>
  <pivotFields count="14">
    <pivotField showAll="0"/>
    <pivotField numFmtId="164" showAll="0"/>
    <pivotField showAll="0"/>
    <pivotField numFmtId="16" showAll="0"/>
    <pivotField showAll="0">
      <items count="4">
        <item x="0"/>
        <item x="1"/>
        <item x="2"/>
        <item t="default"/>
      </items>
    </pivotField>
    <pivotField showAll="0"/>
    <pivotField axis="axisRow" showAll="0">
      <items count="8">
        <item x="4"/>
        <item x="3"/>
        <item x="0"/>
        <item x="2"/>
        <item x="6"/>
        <item x="1"/>
        <item x="5"/>
        <item t="default"/>
      </items>
    </pivotField>
    <pivotField showAll="0"/>
    <pivotField dataField="1" showAll="0"/>
    <pivotField showAll="0"/>
    <pivotField dataField="1" showAll="0"/>
    <pivotField showAll="0"/>
    <pivotField showAll="0"/>
    <pivotField showAll="0"/>
  </pivotFields>
  <rowFields count="1">
    <field x="6"/>
  </rowFields>
  <rowItems count="8">
    <i>
      <x/>
    </i>
    <i>
      <x v="1"/>
    </i>
    <i>
      <x v="2"/>
    </i>
    <i>
      <x v="3"/>
    </i>
    <i>
      <x v="4"/>
    </i>
    <i>
      <x v="5"/>
    </i>
    <i>
      <x v="6"/>
    </i>
    <i t="grand">
      <x/>
    </i>
  </rowItems>
  <colFields count="1">
    <field x="-2"/>
  </colFields>
  <colItems count="2">
    <i>
      <x/>
    </i>
    <i i="1">
      <x v="1"/>
    </i>
  </colItems>
  <dataFields count="2">
    <dataField name="Sum of Quantity" fld="8" baseField="0" baseItem="0"/>
    <dataField name="Sum of Total Revenue" fld="10" baseField="0" baseItem="0"/>
  </dataFields>
  <chartFormats count="16">
    <chartFormat chart="4" format="3"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4" format="4" series="1">
      <pivotArea type="data" outline="0" fieldPosition="0">
        <references count="2">
          <reference field="4294967294" count="1" selected="0">
            <x v="0"/>
          </reference>
          <reference field="6" count="1" selected="0">
            <x v="1"/>
          </reference>
        </references>
      </pivotArea>
    </chartFormat>
    <chartFormat chart="4" format="5" series="1">
      <pivotArea type="data" outline="0" fieldPosition="0">
        <references count="2">
          <reference field="4294967294" count="1" selected="0">
            <x v="0"/>
          </reference>
          <reference field="6" count="1" selected="0">
            <x v="2"/>
          </reference>
        </references>
      </pivotArea>
    </chartFormat>
    <chartFormat chart="4" format="6" series="1">
      <pivotArea type="data" outline="0" fieldPosition="0">
        <references count="2">
          <reference field="4294967294" count="1" selected="0">
            <x v="0"/>
          </reference>
          <reference field="6" count="1" selected="0">
            <x v="3"/>
          </reference>
        </references>
      </pivotArea>
    </chartFormat>
    <chartFormat chart="4" format="7" series="1">
      <pivotArea type="data" outline="0" fieldPosition="0">
        <references count="2">
          <reference field="4294967294" count="1" selected="0">
            <x v="0"/>
          </reference>
          <reference field="6" count="1" selected="0">
            <x v="4"/>
          </reference>
        </references>
      </pivotArea>
    </chartFormat>
    <chartFormat chart="4" format="8" series="1">
      <pivotArea type="data" outline="0" fieldPosition="0">
        <references count="2">
          <reference field="4294967294" count="1" selected="0">
            <x v="0"/>
          </reference>
          <reference field="6" count="1" selected="0">
            <x v="5"/>
          </reference>
        </references>
      </pivotArea>
    </chartFormat>
    <chartFormat chart="4" format="9" series="1">
      <pivotArea type="data" outline="0" fieldPosition="0">
        <references count="2">
          <reference field="4294967294" count="1" selected="0">
            <x v="0"/>
          </reference>
          <reference field="6" count="1" selected="0">
            <x v="6"/>
          </reference>
        </references>
      </pivotArea>
    </chartFormat>
    <chartFormat chart="1" format="2" series="1">
      <pivotArea type="data" outline="0" fieldPosition="0">
        <references count="2">
          <reference field="4294967294" count="1" selected="0">
            <x v="0"/>
          </reference>
          <reference field="6" count="1" selected="0">
            <x v="1"/>
          </reference>
        </references>
      </pivotArea>
    </chartFormat>
    <chartFormat chart="1" format="3" series="1">
      <pivotArea type="data" outline="0" fieldPosition="0">
        <references count="2">
          <reference field="4294967294" count="1" selected="0">
            <x v="0"/>
          </reference>
          <reference field="6" count="1" selected="0">
            <x v="2"/>
          </reference>
        </references>
      </pivotArea>
    </chartFormat>
    <chartFormat chart="1" format="4" series="1">
      <pivotArea type="data" outline="0" fieldPosition="0">
        <references count="2">
          <reference field="4294967294" count="1" selected="0">
            <x v="0"/>
          </reference>
          <reference field="6" count="1" selected="0">
            <x v="3"/>
          </reference>
        </references>
      </pivotArea>
    </chartFormat>
    <chartFormat chart="1" format="5" series="1">
      <pivotArea type="data" outline="0" fieldPosition="0">
        <references count="2">
          <reference field="4294967294" count="1" selected="0">
            <x v="0"/>
          </reference>
          <reference field="6" count="1" selected="0">
            <x v="4"/>
          </reference>
        </references>
      </pivotArea>
    </chartFormat>
    <chartFormat chart="1" format="6" series="1">
      <pivotArea type="data" outline="0" fieldPosition="0">
        <references count="2">
          <reference field="4294967294" count="1" selected="0">
            <x v="0"/>
          </reference>
          <reference field="6" count="1" selected="0">
            <x v="5"/>
          </reference>
        </references>
      </pivotArea>
    </chartFormat>
    <chartFormat chart="1" format="7" series="1">
      <pivotArea type="data" outline="0" fieldPosition="0">
        <references count="2">
          <reference field="4294967294" count="1" selected="0">
            <x v="0"/>
          </reference>
          <reference field="6" count="1" selected="0">
            <x v="6"/>
          </reference>
        </references>
      </pivotArea>
    </chartFormat>
    <chartFormat chart="17"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39E250F-29C3-4D27-A30C-57121ADE608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G28:H32" firstHeaderRow="1" firstDataRow="1" firstDataCol="1"/>
  <pivotFields count="14">
    <pivotField showAll="0"/>
    <pivotField numFmtId="164" showAll="0"/>
    <pivotField showAll="0"/>
    <pivotField numFmtId="16" showAll="0"/>
    <pivotField axis="axisRow" showAll="0">
      <items count="4">
        <item x="0"/>
        <item x="1"/>
        <item x="2"/>
        <item t="default"/>
      </items>
    </pivotField>
    <pivotField showAll="0"/>
    <pivotField showAll="0"/>
    <pivotField showAll="0"/>
    <pivotField showAll="0"/>
    <pivotField showAll="0"/>
    <pivotField dataField="1" showAll="0"/>
    <pivotField showAll="0"/>
    <pivotField showAll="0"/>
    <pivotField showAll="0"/>
  </pivotFields>
  <rowFields count="1">
    <field x="4"/>
  </rowFields>
  <rowItems count="4">
    <i>
      <x/>
    </i>
    <i>
      <x v="1"/>
    </i>
    <i>
      <x v="2"/>
    </i>
    <i t="grand">
      <x/>
    </i>
  </rowItems>
  <colItems count="1">
    <i/>
  </colItems>
  <dataFields count="1">
    <dataField name="Sum of Total Revenue" fld="10" baseField="0" baseItem="0"/>
  </dataFields>
  <chartFormats count="2">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416E350-201C-473D-8B78-259042F048B6}"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N8:O41" firstHeaderRow="1" firstDataRow="1" firstDataCol="1"/>
  <pivotFields count="14">
    <pivotField showAll="0"/>
    <pivotField numFmtId="164" showAll="0"/>
    <pivotField showAll="0"/>
    <pivotField axis="axisRow" numFmtId="16" showAll="0">
      <items count="7">
        <item x="0"/>
        <item x="1"/>
        <item x="2"/>
        <item x="3"/>
        <item x="4"/>
        <item x="5"/>
        <item t="default"/>
      </items>
    </pivotField>
    <pivotField showAll="0"/>
    <pivotField showAll="0"/>
    <pivotField axis="axisRow" showAll="0">
      <items count="8">
        <item x="4"/>
        <item x="3"/>
        <item x="0"/>
        <item x="2"/>
        <item x="6"/>
        <item x="1"/>
        <item x="5"/>
        <item t="default"/>
      </items>
    </pivotField>
    <pivotField showAll="0"/>
    <pivotField showAll="0"/>
    <pivotField showAll="0"/>
    <pivotField showAll="0"/>
    <pivotField showAll="0"/>
    <pivotField dataField="1" showAll="0"/>
    <pivotField showAll="0"/>
  </pivotFields>
  <rowFields count="2">
    <field x="3"/>
    <field x="6"/>
  </rowFields>
  <rowItems count="33">
    <i>
      <x/>
    </i>
    <i r="1">
      <x/>
    </i>
    <i r="1">
      <x v="1"/>
    </i>
    <i r="1">
      <x v="2"/>
    </i>
    <i r="1">
      <x v="3"/>
    </i>
    <i r="1">
      <x v="5"/>
    </i>
    <i>
      <x v="1"/>
    </i>
    <i r="1">
      <x v="1"/>
    </i>
    <i r="1">
      <x v="2"/>
    </i>
    <i r="1">
      <x v="4"/>
    </i>
    <i r="1">
      <x v="5"/>
    </i>
    <i r="1">
      <x v="6"/>
    </i>
    <i>
      <x v="2"/>
    </i>
    <i r="1">
      <x/>
    </i>
    <i r="1">
      <x v="1"/>
    </i>
    <i r="1">
      <x v="2"/>
    </i>
    <i r="1">
      <x v="3"/>
    </i>
    <i r="1">
      <x v="5"/>
    </i>
    <i>
      <x v="3"/>
    </i>
    <i r="1">
      <x v="1"/>
    </i>
    <i r="1">
      <x v="2"/>
    </i>
    <i r="1">
      <x v="4"/>
    </i>
    <i r="1">
      <x v="6"/>
    </i>
    <i>
      <x v="4"/>
    </i>
    <i r="1">
      <x/>
    </i>
    <i r="1">
      <x v="1"/>
    </i>
    <i r="1">
      <x v="2"/>
    </i>
    <i r="1">
      <x v="3"/>
    </i>
    <i r="1">
      <x v="5"/>
    </i>
    <i>
      <x v="5"/>
    </i>
    <i r="1">
      <x v="4"/>
    </i>
    <i r="1">
      <x v="6"/>
    </i>
    <i t="grand">
      <x/>
    </i>
  </rowItems>
  <colItems count="1">
    <i/>
  </colItems>
  <dataFields count="1">
    <dataField name="Sum of Gross Profit" fld="12" baseField="0" baseItem="0"/>
  </dataFields>
  <chartFormats count="1">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295812DE-CE43-4D17-A43F-BC90E09EEB0F}" sourceName="[Table3].[Branch]">
  <pivotTables>
    <pivotTable tabId="5" name="PivotTable1"/>
  </pivotTables>
  <data>
    <olap pivotCacheId="341391792">
      <levels count="2">
        <level uniqueName="[Table3].[Branch].[(All)]" sourceCaption="(All)" count="0"/>
        <level uniqueName="[Table3].[Branch].[Branch]" sourceCaption="Branch" count="3">
          <ranges>
            <range startItem="0">
              <i n="[Table3].[Branch].&amp;[Branch B]" c="Branch B"/>
              <i n="[Table3].[Branch].&amp;[Branch A]" c="Branch A" nd="1"/>
              <i n="[Table3].[Branch].&amp;[Branch C]" c="Branch C" nd="1"/>
            </range>
          </ranges>
        </level>
      </levels>
      <selections count="1">
        <selection n="[Table3].[Branc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C09666D3-6DFB-46A2-A616-59126C6F72C8}" sourceName="[Table3].[Product Line]">
  <pivotTables>
    <pivotTable tabId="5" name="PivotTable1"/>
  </pivotTables>
  <data>
    <olap pivotCacheId="341391792">
      <levels count="2">
        <level uniqueName="[Table3].[Product Line].[(All)]" sourceCaption="(All)" count="0"/>
        <level uniqueName="[Table3].[Product Line].[Product Line]" sourceCaption="Product Line" count="7">
          <ranges>
            <range startItem="0">
              <i n="[Table3].[Product Line].&amp;[Furniture]" c="Furniture"/>
              <i n="[Table3].[Product Line].&amp;[Bathing]" c="Bathing" nd="1"/>
              <i n="[Table3].[Product Line].&amp;[Clothing]" c="Clothing" nd="1"/>
              <i n="[Table3].[Product Line].&amp;[Electronics]" c="Electronics" nd="1"/>
              <i n="[Table3].[Product Line].&amp;[Food]" c="Food" nd="1"/>
              <i n="[Table3].[Product Line].&amp;[Grocery]" c="Grocery" nd="1"/>
              <i n="[Table3].[Product Line].&amp;[Plastics]" c="Plastics" nd="1"/>
            </range>
          </ranges>
        </level>
      </levels>
      <selections count="1">
        <selection n="[Table3].[Product Lin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26F1E0C-E8A1-4D13-9121-65638120EDB1}" sourceName="[Table3].[Gender]">
  <pivotTables>
    <pivotTable tabId="5" name="PivotTable1"/>
  </pivotTables>
  <data>
    <olap pivotCacheId="341391792">
      <levels count="2">
        <level uniqueName="[Table3].[Gender].[(All)]" sourceCaption="(All)" count="0"/>
        <level uniqueName="[Table3].[Gender].[Gender]" sourceCaption="Gender" count="2">
          <ranges>
            <range startItem="0">
              <i n="[Table3].[Gender].&amp;[Male]" c="Male"/>
              <i n="[Table3].[Gender].&amp;[Female]" c="Female" nd="1"/>
            </range>
          </ranges>
        </level>
      </levels>
      <selections count="1">
        <selection n="[Table3].[Gend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xr10:uid="{CD9640F0-E5E1-4401-9B27-CB730E2B44D7}" cache="Slicer_Branch" caption="Branch" level="1" rowHeight="209550"/>
  <slicer name="Product Line" xr10:uid="{A352338E-E27A-4F69-A54B-EC8CEFE02C25}" cache="Slicer_Product_Line" caption="Product Line" level="1" rowHeight="209550"/>
  <slicer name="Gender" xr10:uid="{135D7283-6537-4C8A-B915-42A7A3A3E172}" cache="Slicer_Gender" caption="Gender" level="1"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A2D0043-4B92-49E4-BCD1-6F1D24B8F521}" name="Table3" displayName="Table3" ref="A1:O41" totalsRowShown="0" headerRowDxfId="20" dataDxfId="18" headerRowBorderDxfId="19" tableBorderDxfId="17" totalsRowBorderDxfId="16">
  <autoFilter ref="A1:O41" xr:uid="{3A2D0043-4B92-49E4-BCD1-6F1D24B8F521}"/>
  <tableColumns count="15">
    <tableColumn id="1" xr3:uid="{C2D1000C-B968-43CF-BB6E-87AC63A39F6C}" name="Invoice ID" dataDxfId="15"/>
    <tableColumn id="2" xr3:uid="{F8A0434C-8B46-495A-9646-3B5DD07AC48E}" name="Date" dataDxfId="14"/>
    <tableColumn id="3" xr3:uid="{19A0F815-24F1-4B25-9011-552B3E5A420B}" name="Year" dataDxfId="13"/>
    <tableColumn id="4" xr3:uid="{1AC35C12-E2CD-43A7-9B6A-305B2759EFE7}" name="Month" dataDxfId="12">
      <calculatedColumnFormula>MONTH(B2)</calculatedColumnFormula>
    </tableColumn>
    <tableColumn id="5" xr3:uid="{D5C4C2B0-5730-491D-9383-2FB79AB97D0E}" name="Branch" dataDxfId="11"/>
    <tableColumn id="6" xr3:uid="{B8D2FB20-6624-4B42-9EB2-4B1E1C9C36A3}" name="Gender" dataDxfId="10"/>
    <tableColumn id="7" xr3:uid="{5089C19F-32E9-45DC-9FD8-474AACCA37DE}" name="Product Line" dataDxfId="9"/>
    <tableColumn id="8" xr3:uid="{4D0EE49F-55E7-4822-803D-D3488B644394}" name="Unit Price" dataDxfId="8"/>
    <tableColumn id="9" xr3:uid="{99106868-A4C4-4C50-BCE4-A5C9FD3E4CE1}" name="Quantity" dataDxfId="7"/>
    <tableColumn id="10" xr3:uid="{10321C7E-5989-4C40-9CAD-38D684A4628B}" name="Tax (5%)" dataDxfId="6">
      <calculatedColumnFormula>H2*0.05</calculatedColumnFormula>
    </tableColumn>
    <tableColumn id="11" xr3:uid="{53C2F904-632F-4322-9970-1525C8E9768D}" name="Total Revenue" dataDxfId="5">
      <calculatedColumnFormula>(H2*I2)+J2</calculatedColumnFormula>
    </tableColumn>
    <tableColumn id="12" xr3:uid="{965E8EF2-9F14-4B35-9555-FACCEB0AF690}" name="Costs of Goods Sold" dataDxfId="4">
      <calculatedColumnFormula>K2*0.75</calculatedColumnFormula>
    </tableColumn>
    <tableColumn id="13" xr3:uid="{D6C13DCB-FF71-4522-A9A5-2BB3262D0012}" name="Gross Profit" dataDxfId="3">
      <calculatedColumnFormula>K2-L2</calculatedColumnFormula>
    </tableColumn>
    <tableColumn id="14" xr3:uid="{0DD70811-3EBE-4D8D-B9DC-11EA4A2A04A5}" name="Payment Method" dataDxfId="2"/>
    <tableColumn id="15" xr3:uid="{D75D498D-A5B0-4FAC-A8F5-AF3A06549CE1}" name="Column1" dataDxfId="1"/>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99199-D959-47C3-A1BD-ADB872A8CC6C}">
  <sheetPr>
    <tabColor theme="4"/>
  </sheetPr>
  <dimension ref="A1:O54"/>
  <sheetViews>
    <sheetView zoomScale="70" workbookViewId="0">
      <selection activeCell="O2" sqref="O2"/>
    </sheetView>
  </sheetViews>
  <sheetFormatPr defaultColWidth="0" defaultRowHeight="13.2" zeroHeight="1" x14ac:dyDescent="0.25"/>
  <cols>
    <col min="1" max="1" width="11.33203125" customWidth="1"/>
    <col min="2" max="2" width="10.109375" bestFit="1" customWidth="1"/>
    <col min="3" max="3" width="8.88671875" customWidth="1"/>
    <col min="4" max="4" width="8.88671875" style="1" customWidth="1"/>
    <col min="5" max="5" width="9.21875" customWidth="1"/>
    <col min="6" max="6" width="10.5546875" customWidth="1"/>
    <col min="7" max="7" width="14.109375" customWidth="1"/>
    <col min="8" max="8" width="11.44140625" customWidth="1"/>
    <col min="9" max="9" width="10.33203125" customWidth="1"/>
    <col min="10" max="10" width="10.6640625" customWidth="1"/>
    <col min="11" max="11" width="15.33203125" customWidth="1"/>
    <col min="12" max="12" width="21" customWidth="1"/>
    <col min="13" max="13" width="13.5546875" customWidth="1"/>
    <col min="14" max="14" width="17.44140625" customWidth="1"/>
    <col min="15" max="15" width="8.88671875" customWidth="1"/>
    <col min="16" max="16384" width="8.88671875" hidden="1"/>
  </cols>
  <sheetData>
    <row r="1" spans="1:15" x14ac:dyDescent="0.25">
      <c r="A1" s="11" t="s">
        <v>2</v>
      </c>
      <c r="B1" s="12" t="s">
        <v>1</v>
      </c>
      <c r="C1" s="12" t="s">
        <v>3</v>
      </c>
      <c r="D1" s="13" t="s">
        <v>4</v>
      </c>
      <c r="E1" s="12" t="s">
        <v>5</v>
      </c>
      <c r="F1" s="12" t="s">
        <v>17</v>
      </c>
      <c r="G1" s="12" t="s">
        <v>6</v>
      </c>
      <c r="H1" s="12" t="s">
        <v>7</v>
      </c>
      <c r="I1" s="12" t="s">
        <v>8</v>
      </c>
      <c r="J1" s="12" t="s">
        <v>9</v>
      </c>
      <c r="K1" s="12" t="s">
        <v>10</v>
      </c>
      <c r="L1" s="12" t="s">
        <v>11</v>
      </c>
      <c r="M1" s="12" t="s">
        <v>12</v>
      </c>
      <c r="N1" s="14" t="s">
        <v>13</v>
      </c>
      <c r="O1" s="12" t="s">
        <v>50</v>
      </c>
    </row>
    <row r="2" spans="1:15" x14ac:dyDescent="0.25">
      <c r="A2" s="9">
        <v>101</v>
      </c>
      <c r="B2" s="3">
        <v>45672</v>
      </c>
      <c r="C2" s="5">
        <v>2025</v>
      </c>
      <c r="D2" s="6">
        <f>MONTH(B2)</f>
        <v>1</v>
      </c>
      <c r="E2" s="7" t="s">
        <v>14</v>
      </c>
      <c r="F2" s="7" t="s">
        <v>18</v>
      </c>
      <c r="G2" s="8" t="s">
        <v>0</v>
      </c>
      <c r="H2" s="5">
        <v>3500</v>
      </c>
      <c r="I2" s="5">
        <v>2</v>
      </c>
      <c r="J2" s="5">
        <f>H2*0.05</f>
        <v>175</v>
      </c>
      <c r="K2" s="5">
        <f>(H2*I2)+J2</f>
        <v>7175</v>
      </c>
      <c r="L2" s="5">
        <f>K2*0.75</f>
        <v>5381.25</v>
      </c>
      <c r="M2" s="5">
        <f>K2-L2</f>
        <v>1793.75</v>
      </c>
      <c r="N2" s="10" t="s">
        <v>26</v>
      </c>
      <c r="O2" s="32"/>
    </row>
    <row r="3" spans="1:15" x14ac:dyDescent="0.25">
      <c r="A3" s="9">
        <v>102</v>
      </c>
      <c r="B3" s="4">
        <v>45675</v>
      </c>
      <c r="C3" s="5">
        <v>2025</v>
      </c>
      <c r="D3" s="6">
        <f t="shared" ref="D3:D41" si="0">MONTH(B3)</f>
        <v>1</v>
      </c>
      <c r="E3" s="7" t="s">
        <v>15</v>
      </c>
      <c r="F3" s="7" t="s">
        <v>18</v>
      </c>
      <c r="G3" s="8" t="s">
        <v>20</v>
      </c>
      <c r="H3" s="5">
        <v>200</v>
      </c>
      <c r="I3" s="5">
        <v>2</v>
      </c>
      <c r="J3" s="5">
        <f t="shared" ref="J3:J41" si="1">H3*0.05</f>
        <v>10</v>
      </c>
      <c r="K3" s="5">
        <f t="shared" ref="K3:K41" si="2">(H3*I3)+J3</f>
        <v>410</v>
      </c>
      <c r="L3" s="5">
        <f t="shared" ref="L3:L41" si="3">K3*0.75</f>
        <v>307.5</v>
      </c>
      <c r="M3" s="5">
        <f t="shared" ref="M3:M41" si="4">K3-L3</f>
        <v>102.5</v>
      </c>
      <c r="N3" s="10" t="s">
        <v>26</v>
      </c>
      <c r="O3" s="5"/>
    </row>
    <row r="4" spans="1:15" x14ac:dyDescent="0.25">
      <c r="A4" s="9">
        <v>103</v>
      </c>
      <c r="B4" s="3">
        <v>45677</v>
      </c>
      <c r="C4" s="5">
        <v>2025</v>
      </c>
      <c r="D4" s="6">
        <f t="shared" si="0"/>
        <v>1</v>
      </c>
      <c r="E4" s="7" t="s">
        <v>14</v>
      </c>
      <c r="F4" s="7" t="s">
        <v>19</v>
      </c>
      <c r="G4" s="8" t="s">
        <v>21</v>
      </c>
      <c r="H4" s="5">
        <v>350</v>
      </c>
      <c r="I4" s="5">
        <v>3</v>
      </c>
      <c r="J4" s="5">
        <f t="shared" si="1"/>
        <v>17.5</v>
      </c>
      <c r="K4" s="5">
        <f t="shared" si="2"/>
        <v>1067.5</v>
      </c>
      <c r="L4" s="5">
        <f t="shared" si="3"/>
        <v>800.625</v>
      </c>
      <c r="M4" s="5">
        <f t="shared" si="4"/>
        <v>266.875</v>
      </c>
      <c r="N4" s="10" t="s">
        <v>27</v>
      </c>
      <c r="O4" s="5"/>
    </row>
    <row r="5" spans="1:15" x14ac:dyDescent="0.25">
      <c r="A5" s="9">
        <v>104</v>
      </c>
      <c r="B5" s="4">
        <v>45679</v>
      </c>
      <c r="C5" s="5">
        <v>2025</v>
      </c>
      <c r="D5" s="6">
        <f t="shared" si="0"/>
        <v>1</v>
      </c>
      <c r="E5" s="7" t="s">
        <v>16</v>
      </c>
      <c r="F5" s="7" t="s">
        <v>18</v>
      </c>
      <c r="G5" s="8" t="s">
        <v>22</v>
      </c>
      <c r="H5" s="5">
        <v>1600</v>
      </c>
      <c r="I5" s="5">
        <v>1</v>
      </c>
      <c r="J5" s="5">
        <f t="shared" si="1"/>
        <v>80</v>
      </c>
      <c r="K5" s="5">
        <f t="shared" si="2"/>
        <v>1680</v>
      </c>
      <c r="L5" s="5">
        <f t="shared" si="3"/>
        <v>1260</v>
      </c>
      <c r="M5" s="5">
        <f t="shared" si="4"/>
        <v>420</v>
      </c>
      <c r="N5" s="10" t="s">
        <v>28</v>
      </c>
      <c r="O5" s="5"/>
    </row>
    <row r="6" spans="1:15" x14ac:dyDescent="0.25">
      <c r="A6" s="9">
        <v>105</v>
      </c>
      <c r="B6" s="3">
        <v>45682</v>
      </c>
      <c r="C6" s="5">
        <v>2025</v>
      </c>
      <c r="D6" s="6">
        <f t="shared" si="0"/>
        <v>1</v>
      </c>
      <c r="E6" s="7" t="s">
        <v>15</v>
      </c>
      <c r="F6" s="7" t="s">
        <v>19</v>
      </c>
      <c r="G6" s="8" t="s">
        <v>0</v>
      </c>
      <c r="H6" s="5">
        <v>5600</v>
      </c>
      <c r="I6" s="5">
        <v>1</v>
      </c>
      <c r="J6" s="5">
        <f t="shared" si="1"/>
        <v>280</v>
      </c>
      <c r="K6" s="5">
        <f t="shared" si="2"/>
        <v>5880</v>
      </c>
      <c r="L6" s="5">
        <f t="shared" si="3"/>
        <v>4410</v>
      </c>
      <c r="M6" s="5">
        <f t="shared" si="4"/>
        <v>1470</v>
      </c>
      <c r="N6" s="10" t="s">
        <v>29</v>
      </c>
      <c r="O6" s="5"/>
    </row>
    <row r="7" spans="1:15" x14ac:dyDescent="0.25">
      <c r="A7" s="9">
        <v>106</v>
      </c>
      <c r="B7" s="4">
        <v>45685</v>
      </c>
      <c r="C7" s="5">
        <v>2025</v>
      </c>
      <c r="D7" s="6">
        <f t="shared" si="0"/>
        <v>1</v>
      </c>
      <c r="E7" s="7" t="s">
        <v>16</v>
      </c>
      <c r="F7" s="7" t="s">
        <v>19</v>
      </c>
      <c r="G7" s="8" t="s">
        <v>23</v>
      </c>
      <c r="H7" s="5">
        <v>800</v>
      </c>
      <c r="I7" s="5">
        <v>5</v>
      </c>
      <c r="J7" s="5">
        <f t="shared" si="1"/>
        <v>40</v>
      </c>
      <c r="K7" s="5">
        <f t="shared" si="2"/>
        <v>4040</v>
      </c>
      <c r="L7" s="5">
        <f t="shared" si="3"/>
        <v>3030</v>
      </c>
      <c r="M7" s="5">
        <f t="shared" si="4"/>
        <v>1010</v>
      </c>
      <c r="N7" s="10" t="s">
        <v>27</v>
      </c>
      <c r="O7" s="5"/>
    </row>
    <row r="8" spans="1:15" x14ac:dyDescent="0.25">
      <c r="A8" s="9">
        <v>107</v>
      </c>
      <c r="B8" s="3">
        <v>45690</v>
      </c>
      <c r="C8" s="5">
        <v>2025</v>
      </c>
      <c r="D8" s="6">
        <f t="shared" si="0"/>
        <v>2</v>
      </c>
      <c r="E8" s="7" t="s">
        <v>14</v>
      </c>
      <c r="F8" s="7" t="s">
        <v>18</v>
      </c>
      <c r="G8" s="8" t="s">
        <v>22</v>
      </c>
      <c r="H8" s="5">
        <v>3500</v>
      </c>
      <c r="I8" s="5">
        <v>3</v>
      </c>
      <c r="J8" s="5">
        <f t="shared" si="1"/>
        <v>175</v>
      </c>
      <c r="K8" s="5">
        <f t="shared" si="2"/>
        <v>10675</v>
      </c>
      <c r="L8" s="5">
        <f t="shared" si="3"/>
        <v>8006.25</v>
      </c>
      <c r="M8" s="5">
        <f t="shared" si="4"/>
        <v>2668.75</v>
      </c>
      <c r="N8" s="10" t="s">
        <v>26</v>
      </c>
      <c r="O8" s="5"/>
    </row>
    <row r="9" spans="1:15" x14ac:dyDescent="0.25">
      <c r="A9" s="9">
        <v>108</v>
      </c>
      <c r="B9" s="4">
        <v>45693</v>
      </c>
      <c r="C9" s="5">
        <v>2025</v>
      </c>
      <c r="D9" s="6">
        <f t="shared" si="0"/>
        <v>2</v>
      </c>
      <c r="E9" s="7" t="s">
        <v>15</v>
      </c>
      <c r="F9" s="7" t="s">
        <v>18</v>
      </c>
      <c r="G9" s="8" t="s">
        <v>20</v>
      </c>
      <c r="H9" s="5">
        <v>350</v>
      </c>
      <c r="I9" s="5">
        <v>3</v>
      </c>
      <c r="J9" s="5">
        <f t="shared" si="1"/>
        <v>17.5</v>
      </c>
      <c r="K9" s="5">
        <f t="shared" si="2"/>
        <v>1067.5</v>
      </c>
      <c r="L9" s="5">
        <f t="shared" si="3"/>
        <v>800.625</v>
      </c>
      <c r="M9" s="5">
        <f t="shared" si="4"/>
        <v>266.875</v>
      </c>
      <c r="N9" s="10" t="s">
        <v>27</v>
      </c>
      <c r="O9" s="5"/>
    </row>
    <row r="10" spans="1:15" x14ac:dyDescent="0.25">
      <c r="A10" s="9">
        <v>109</v>
      </c>
      <c r="B10" s="3">
        <v>45698</v>
      </c>
      <c r="C10" s="5">
        <v>2025</v>
      </c>
      <c r="D10" s="6">
        <f t="shared" si="0"/>
        <v>2</v>
      </c>
      <c r="E10" s="7" t="s">
        <v>16</v>
      </c>
      <c r="F10" s="7" t="s">
        <v>19</v>
      </c>
      <c r="G10" s="8" t="s">
        <v>24</v>
      </c>
      <c r="H10" s="5">
        <v>800</v>
      </c>
      <c r="I10" s="5">
        <v>2</v>
      </c>
      <c r="J10" s="5">
        <f t="shared" si="1"/>
        <v>40</v>
      </c>
      <c r="K10" s="5">
        <f t="shared" si="2"/>
        <v>1640</v>
      </c>
      <c r="L10" s="5">
        <f t="shared" si="3"/>
        <v>1230</v>
      </c>
      <c r="M10" s="5">
        <f t="shared" si="4"/>
        <v>410</v>
      </c>
      <c r="N10" s="10" t="s">
        <v>27</v>
      </c>
      <c r="O10" s="5"/>
    </row>
    <row r="11" spans="1:15" x14ac:dyDescent="0.25">
      <c r="A11" s="9">
        <v>110</v>
      </c>
      <c r="B11" s="4">
        <v>45702</v>
      </c>
      <c r="C11" s="5">
        <v>2025</v>
      </c>
      <c r="D11" s="6">
        <f t="shared" si="0"/>
        <v>2</v>
      </c>
      <c r="E11" s="7" t="s">
        <v>16</v>
      </c>
      <c r="F11" s="7" t="s">
        <v>19</v>
      </c>
      <c r="G11" s="8" t="s">
        <v>25</v>
      </c>
      <c r="H11" s="5">
        <v>90000</v>
      </c>
      <c r="I11" s="5">
        <v>1</v>
      </c>
      <c r="J11" s="5">
        <f t="shared" si="1"/>
        <v>4500</v>
      </c>
      <c r="K11" s="5">
        <f t="shared" si="2"/>
        <v>94500</v>
      </c>
      <c r="L11" s="5">
        <f t="shared" si="3"/>
        <v>70875</v>
      </c>
      <c r="M11" s="5">
        <f t="shared" si="4"/>
        <v>23625</v>
      </c>
      <c r="N11" s="10" t="s">
        <v>29</v>
      </c>
      <c r="O11" s="5"/>
    </row>
    <row r="12" spans="1:15" x14ac:dyDescent="0.25">
      <c r="A12" s="9">
        <v>111</v>
      </c>
      <c r="B12" s="3">
        <v>45705</v>
      </c>
      <c r="C12" s="5">
        <v>2025</v>
      </c>
      <c r="D12" s="6">
        <f t="shared" si="0"/>
        <v>2</v>
      </c>
      <c r="E12" s="7" t="s">
        <v>15</v>
      </c>
      <c r="F12" s="7" t="s">
        <v>19</v>
      </c>
      <c r="G12" s="8" t="s">
        <v>25</v>
      </c>
      <c r="H12" s="5">
        <v>60000</v>
      </c>
      <c r="I12" s="5">
        <v>2</v>
      </c>
      <c r="J12" s="5">
        <f t="shared" si="1"/>
        <v>3000</v>
      </c>
      <c r="K12" s="5">
        <f t="shared" si="2"/>
        <v>123000</v>
      </c>
      <c r="L12" s="5">
        <f t="shared" si="3"/>
        <v>92250</v>
      </c>
      <c r="M12" s="5">
        <f t="shared" si="4"/>
        <v>30750</v>
      </c>
      <c r="N12" s="10" t="s">
        <v>29</v>
      </c>
      <c r="O12" s="5"/>
    </row>
    <row r="13" spans="1:15" x14ac:dyDescent="0.25">
      <c r="A13" s="9">
        <v>112</v>
      </c>
      <c r="B13" s="4">
        <v>45708</v>
      </c>
      <c r="C13" s="5">
        <v>2025</v>
      </c>
      <c r="D13" s="6">
        <f t="shared" si="0"/>
        <v>2</v>
      </c>
      <c r="E13" s="7" t="s">
        <v>14</v>
      </c>
      <c r="F13" s="7" t="s">
        <v>18</v>
      </c>
      <c r="G13" s="8" t="s">
        <v>24</v>
      </c>
      <c r="H13" s="5">
        <v>1300</v>
      </c>
      <c r="I13" s="5">
        <v>4</v>
      </c>
      <c r="J13" s="5">
        <f t="shared" si="1"/>
        <v>65</v>
      </c>
      <c r="K13" s="5">
        <f t="shared" si="2"/>
        <v>5265</v>
      </c>
      <c r="L13" s="5">
        <f t="shared" si="3"/>
        <v>3948.75</v>
      </c>
      <c r="M13" s="5">
        <f t="shared" si="4"/>
        <v>1316.25</v>
      </c>
      <c r="N13" s="10" t="s">
        <v>28</v>
      </c>
      <c r="O13" s="5"/>
    </row>
    <row r="14" spans="1:15" x14ac:dyDescent="0.25">
      <c r="A14" s="9">
        <v>113</v>
      </c>
      <c r="B14" s="3">
        <v>45712</v>
      </c>
      <c r="C14" s="5">
        <v>2025</v>
      </c>
      <c r="D14" s="6">
        <f t="shared" si="0"/>
        <v>2</v>
      </c>
      <c r="E14" s="7" t="s">
        <v>15</v>
      </c>
      <c r="F14" s="7" t="s">
        <v>18</v>
      </c>
      <c r="G14" s="8" t="s">
        <v>0</v>
      </c>
      <c r="H14" s="5">
        <v>45000</v>
      </c>
      <c r="I14" s="5">
        <v>1</v>
      </c>
      <c r="J14" s="5">
        <f t="shared" si="1"/>
        <v>2250</v>
      </c>
      <c r="K14" s="5">
        <f t="shared" si="2"/>
        <v>47250</v>
      </c>
      <c r="L14" s="5">
        <f t="shared" si="3"/>
        <v>35437.5</v>
      </c>
      <c r="M14" s="5">
        <f t="shared" si="4"/>
        <v>11812.5</v>
      </c>
      <c r="N14" s="10" t="s">
        <v>26</v>
      </c>
      <c r="O14" s="5"/>
    </row>
    <row r="15" spans="1:15" x14ac:dyDescent="0.25">
      <c r="A15" s="9">
        <v>114</v>
      </c>
      <c r="B15" s="4">
        <v>45715</v>
      </c>
      <c r="C15" s="5">
        <v>2025</v>
      </c>
      <c r="D15" s="6">
        <f t="shared" si="0"/>
        <v>2</v>
      </c>
      <c r="E15" s="7" t="s">
        <v>15</v>
      </c>
      <c r="F15" s="7" t="s">
        <v>18</v>
      </c>
      <c r="G15" s="8" t="s">
        <v>22</v>
      </c>
      <c r="H15" s="5">
        <v>2000</v>
      </c>
      <c r="I15" s="5">
        <v>3</v>
      </c>
      <c r="J15" s="5">
        <f t="shared" si="1"/>
        <v>100</v>
      </c>
      <c r="K15" s="5">
        <f t="shared" si="2"/>
        <v>6100</v>
      </c>
      <c r="L15" s="5">
        <f t="shared" si="3"/>
        <v>4575</v>
      </c>
      <c r="M15" s="5">
        <f t="shared" si="4"/>
        <v>1525</v>
      </c>
      <c r="N15" s="10" t="s">
        <v>26</v>
      </c>
      <c r="O15" s="5"/>
    </row>
    <row r="16" spans="1:15" x14ac:dyDescent="0.25">
      <c r="A16" s="9">
        <v>115</v>
      </c>
      <c r="B16" s="3">
        <v>45719</v>
      </c>
      <c r="C16" s="5">
        <v>2025</v>
      </c>
      <c r="D16" s="6">
        <f t="shared" si="0"/>
        <v>3</v>
      </c>
      <c r="E16" s="7" t="s">
        <v>14</v>
      </c>
      <c r="F16" s="7" t="s">
        <v>19</v>
      </c>
      <c r="G16" s="8" t="s">
        <v>0</v>
      </c>
      <c r="H16" s="5">
        <v>3500</v>
      </c>
      <c r="I16" s="5">
        <v>2</v>
      </c>
      <c r="J16" s="5">
        <f t="shared" si="1"/>
        <v>175</v>
      </c>
      <c r="K16" s="5">
        <f t="shared" si="2"/>
        <v>7175</v>
      </c>
      <c r="L16" s="5">
        <f t="shared" si="3"/>
        <v>5381.25</v>
      </c>
      <c r="M16" s="5">
        <f t="shared" si="4"/>
        <v>1793.75</v>
      </c>
      <c r="N16" s="10" t="s">
        <v>27</v>
      </c>
      <c r="O16" s="5"/>
    </row>
    <row r="17" spans="1:15" x14ac:dyDescent="0.25">
      <c r="A17" s="9">
        <v>116</v>
      </c>
      <c r="B17" s="4">
        <v>45722</v>
      </c>
      <c r="C17" s="5">
        <v>2025</v>
      </c>
      <c r="D17" s="6">
        <f t="shared" si="0"/>
        <v>3</v>
      </c>
      <c r="E17" s="7" t="s">
        <v>15</v>
      </c>
      <c r="F17" s="7" t="s">
        <v>19</v>
      </c>
      <c r="G17" s="8" t="s">
        <v>20</v>
      </c>
      <c r="H17" s="5">
        <v>200</v>
      </c>
      <c r="I17" s="5">
        <v>2</v>
      </c>
      <c r="J17" s="5">
        <f t="shared" si="1"/>
        <v>10</v>
      </c>
      <c r="K17" s="5">
        <f t="shared" si="2"/>
        <v>410</v>
      </c>
      <c r="L17" s="5">
        <f t="shared" si="3"/>
        <v>307.5</v>
      </c>
      <c r="M17" s="5">
        <f t="shared" si="4"/>
        <v>102.5</v>
      </c>
      <c r="N17" s="10" t="s">
        <v>28</v>
      </c>
      <c r="O17" s="5"/>
    </row>
    <row r="18" spans="1:15" x14ac:dyDescent="0.25">
      <c r="A18" s="9">
        <v>117</v>
      </c>
      <c r="B18" s="3">
        <v>45727</v>
      </c>
      <c r="C18" s="5">
        <v>2025</v>
      </c>
      <c r="D18" s="6">
        <f t="shared" si="0"/>
        <v>3</v>
      </c>
      <c r="E18" s="7" t="s">
        <v>14</v>
      </c>
      <c r="F18" s="7" t="s">
        <v>18</v>
      </c>
      <c r="G18" s="8" t="s">
        <v>21</v>
      </c>
      <c r="H18" s="5">
        <v>350</v>
      </c>
      <c r="I18" s="5">
        <v>3</v>
      </c>
      <c r="J18" s="5">
        <f t="shared" si="1"/>
        <v>17.5</v>
      </c>
      <c r="K18" s="5">
        <f t="shared" si="2"/>
        <v>1067.5</v>
      </c>
      <c r="L18" s="5">
        <f t="shared" si="3"/>
        <v>800.625</v>
      </c>
      <c r="M18" s="5">
        <f t="shared" si="4"/>
        <v>266.875</v>
      </c>
      <c r="N18" s="10" t="s">
        <v>29</v>
      </c>
      <c r="O18" s="5"/>
    </row>
    <row r="19" spans="1:15" x14ac:dyDescent="0.25">
      <c r="A19" s="9">
        <v>118</v>
      </c>
      <c r="B19" s="4">
        <v>45731</v>
      </c>
      <c r="C19" s="5">
        <v>2025</v>
      </c>
      <c r="D19" s="6">
        <f t="shared" si="0"/>
        <v>3</v>
      </c>
      <c r="E19" s="7" t="s">
        <v>16</v>
      </c>
      <c r="F19" s="7" t="s">
        <v>18</v>
      </c>
      <c r="G19" s="8" t="s">
        <v>22</v>
      </c>
      <c r="H19" s="5">
        <v>1600</v>
      </c>
      <c r="I19" s="5">
        <v>1</v>
      </c>
      <c r="J19" s="5">
        <f t="shared" si="1"/>
        <v>80</v>
      </c>
      <c r="K19" s="5">
        <f t="shared" si="2"/>
        <v>1680</v>
      </c>
      <c r="L19" s="5">
        <f t="shared" si="3"/>
        <v>1260</v>
      </c>
      <c r="M19" s="5">
        <f t="shared" si="4"/>
        <v>420</v>
      </c>
      <c r="N19" s="10" t="s">
        <v>26</v>
      </c>
      <c r="O19" s="5"/>
    </row>
    <row r="20" spans="1:15" x14ac:dyDescent="0.25">
      <c r="A20" s="9">
        <v>119</v>
      </c>
      <c r="B20" s="3">
        <v>45735</v>
      </c>
      <c r="C20" s="5">
        <v>2025</v>
      </c>
      <c r="D20" s="6">
        <f t="shared" si="0"/>
        <v>3</v>
      </c>
      <c r="E20" s="7" t="s">
        <v>15</v>
      </c>
      <c r="F20" s="7" t="s">
        <v>19</v>
      </c>
      <c r="G20" s="8" t="s">
        <v>0</v>
      </c>
      <c r="H20" s="5">
        <v>5600</v>
      </c>
      <c r="I20" s="5">
        <v>1</v>
      </c>
      <c r="J20" s="5">
        <f t="shared" si="1"/>
        <v>280</v>
      </c>
      <c r="K20" s="5">
        <f t="shared" si="2"/>
        <v>5880</v>
      </c>
      <c r="L20" s="5">
        <f t="shared" si="3"/>
        <v>4410</v>
      </c>
      <c r="M20" s="5">
        <f t="shared" si="4"/>
        <v>1470</v>
      </c>
      <c r="N20" s="10" t="s">
        <v>26</v>
      </c>
      <c r="O20" s="5"/>
    </row>
    <row r="21" spans="1:15" x14ac:dyDescent="0.25">
      <c r="A21" s="9">
        <v>120</v>
      </c>
      <c r="B21" s="4">
        <v>45738</v>
      </c>
      <c r="C21" s="5">
        <v>2025</v>
      </c>
      <c r="D21" s="6">
        <f t="shared" si="0"/>
        <v>3</v>
      </c>
      <c r="E21" s="7" t="s">
        <v>16</v>
      </c>
      <c r="F21" s="7" t="s">
        <v>18</v>
      </c>
      <c r="G21" s="8" t="s">
        <v>23</v>
      </c>
      <c r="H21" s="5">
        <v>800</v>
      </c>
      <c r="I21" s="5">
        <v>5</v>
      </c>
      <c r="J21" s="5">
        <f t="shared" si="1"/>
        <v>40</v>
      </c>
      <c r="K21" s="5">
        <f t="shared" si="2"/>
        <v>4040</v>
      </c>
      <c r="L21" s="5">
        <f t="shared" si="3"/>
        <v>3030</v>
      </c>
      <c r="M21" s="5">
        <f t="shared" si="4"/>
        <v>1010</v>
      </c>
      <c r="N21" s="10" t="s">
        <v>27</v>
      </c>
      <c r="O21" s="5"/>
    </row>
    <row r="22" spans="1:15" x14ac:dyDescent="0.25">
      <c r="A22" s="9">
        <v>121</v>
      </c>
      <c r="B22" s="3">
        <v>45742</v>
      </c>
      <c r="C22" s="5">
        <v>2025</v>
      </c>
      <c r="D22" s="6">
        <f t="shared" si="0"/>
        <v>3</v>
      </c>
      <c r="E22" s="7" t="s">
        <v>14</v>
      </c>
      <c r="F22" s="7" t="s">
        <v>19</v>
      </c>
      <c r="G22" s="8" t="s">
        <v>22</v>
      </c>
      <c r="H22" s="5">
        <v>3500</v>
      </c>
      <c r="I22" s="5">
        <v>3</v>
      </c>
      <c r="J22" s="5">
        <f t="shared" si="1"/>
        <v>175</v>
      </c>
      <c r="K22" s="5">
        <f t="shared" si="2"/>
        <v>10675</v>
      </c>
      <c r="L22" s="5">
        <f t="shared" si="3"/>
        <v>8006.25</v>
      </c>
      <c r="M22" s="5">
        <f t="shared" si="4"/>
        <v>2668.75</v>
      </c>
      <c r="N22" s="10" t="s">
        <v>28</v>
      </c>
      <c r="O22" s="5"/>
    </row>
    <row r="23" spans="1:15" x14ac:dyDescent="0.25">
      <c r="A23" s="9">
        <v>122</v>
      </c>
      <c r="B23" s="4">
        <v>45746</v>
      </c>
      <c r="C23" s="5">
        <v>2025</v>
      </c>
      <c r="D23" s="6">
        <f t="shared" si="0"/>
        <v>3</v>
      </c>
      <c r="E23" s="7" t="s">
        <v>15</v>
      </c>
      <c r="F23" s="7" t="s">
        <v>19</v>
      </c>
      <c r="G23" s="8" t="s">
        <v>20</v>
      </c>
      <c r="H23" s="5">
        <v>350</v>
      </c>
      <c r="I23" s="5">
        <v>3</v>
      </c>
      <c r="J23" s="5">
        <f t="shared" si="1"/>
        <v>17.5</v>
      </c>
      <c r="K23" s="5">
        <f t="shared" si="2"/>
        <v>1067.5</v>
      </c>
      <c r="L23" s="5">
        <f t="shared" si="3"/>
        <v>800.625</v>
      </c>
      <c r="M23" s="5">
        <f t="shared" si="4"/>
        <v>266.875</v>
      </c>
      <c r="N23" s="10" t="s">
        <v>29</v>
      </c>
      <c r="O23" s="5"/>
    </row>
    <row r="24" spans="1:15" x14ac:dyDescent="0.25">
      <c r="A24" s="9">
        <v>123</v>
      </c>
      <c r="B24" s="3">
        <v>45751</v>
      </c>
      <c r="C24" s="5">
        <v>2025</v>
      </c>
      <c r="D24" s="6">
        <f t="shared" si="0"/>
        <v>4</v>
      </c>
      <c r="E24" s="7" t="s">
        <v>16</v>
      </c>
      <c r="F24" s="7" t="s">
        <v>18</v>
      </c>
      <c r="G24" s="8" t="s">
        <v>24</v>
      </c>
      <c r="H24" s="5">
        <v>800</v>
      </c>
      <c r="I24" s="5">
        <v>2</v>
      </c>
      <c r="J24" s="5">
        <f t="shared" si="1"/>
        <v>40</v>
      </c>
      <c r="K24" s="5">
        <f t="shared" si="2"/>
        <v>1640</v>
      </c>
      <c r="L24" s="5">
        <f t="shared" si="3"/>
        <v>1230</v>
      </c>
      <c r="M24" s="5">
        <f t="shared" si="4"/>
        <v>410</v>
      </c>
      <c r="N24" s="10" t="s">
        <v>27</v>
      </c>
      <c r="O24" s="5"/>
    </row>
    <row r="25" spans="1:15" x14ac:dyDescent="0.25">
      <c r="A25" s="9">
        <v>124</v>
      </c>
      <c r="B25" s="4">
        <v>45755</v>
      </c>
      <c r="C25" s="5">
        <v>2025</v>
      </c>
      <c r="D25" s="6">
        <f t="shared" si="0"/>
        <v>4</v>
      </c>
      <c r="E25" s="7" t="s">
        <v>16</v>
      </c>
      <c r="F25" s="7" t="s">
        <v>18</v>
      </c>
      <c r="G25" s="8" t="s">
        <v>25</v>
      </c>
      <c r="H25" s="5">
        <v>90000</v>
      </c>
      <c r="I25" s="5">
        <v>1</v>
      </c>
      <c r="J25" s="5">
        <f t="shared" si="1"/>
        <v>4500</v>
      </c>
      <c r="K25" s="5">
        <f t="shared" si="2"/>
        <v>94500</v>
      </c>
      <c r="L25" s="5">
        <f t="shared" si="3"/>
        <v>70875</v>
      </c>
      <c r="M25" s="5">
        <f t="shared" si="4"/>
        <v>23625</v>
      </c>
      <c r="N25" s="10" t="s">
        <v>26</v>
      </c>
      <c r="O25" s="5"/>
    </row>
    <row r="26" spans="1:15" x14ac:dyDescent="0.25">
      <c r="A26" s="9">
        <v>125</v>
      </c>
      <c r="B26" s="3">
        <v>45759</v>
      </c>
      <c r="C26" s="5">
        <v>2025</v>
      </c>
      <c r="D26" s="6">
        <f t="shared" si="0"/>
        <v>4</v>
      </c>
      <c r="E26" s="7" t="s">
        <v>15</v>
      </c>
      <c r="F26" s="7" t="s">
        <v>19</v>
      </c>
      <c r="G26" s="8" t="s">
        <v>25</v>
      </c>
      <c r="H26" s="5">
        <v>60000</v>
      </c>
      <c r="I26" s="5">
        <v>2</v>
      </c>
      <c r="J26" s="5">
        <f t="shared" si="1"/>
        <v>3000</v>
      </c>
      <c r="K26" s="5">
        <f t="shared" si="2"/>
        <v>123000</v>
      </c>
      <c r="L26" s="5">
        <f t="shared" si="3"/>
        <v>92250</v>
      </c>
      <c r="M26" s="5">
        <f t="shared" si="4"/>
        <v>30750</v>
      </c>
      <c r="N26" s="10" t="s">
        <v>27</v>
      </c>
      <c r="O26" s="5"/>
    </row>
    <row r="27" spans="1:15" x14ac:dyDescent="0.25">
      <c r="A27" s="9">
        <v>126</v>
      </c>
      <c r="B27" s="4">
        <v>45762</v>
      </c>
      <c r="C27" s="5">
        <v>2025</v>
      </c>
      <c r="D27" s="6">
        <f t="shared" si="0"/>
        <v>4</v>
      </c>
      <c r="E27" s="7" t="s">
        <v>14</v>
      </c>
      <c r="F27" s="7" t="s">
        <v>19</v>
      </c>
      <c r="G27" s="8" t="s">
        <v>24</v>
      </c>
      <c r="H27" s="5">
        <v>1300</v>
      </c>
      <c r="I27" s="5">
        <v>4</v>
      </c>
      <c r="J27" s="5">
        <f t="shared" si="1"/>
        <v>65</v>
      </c>
      <c r="K27" s="5">
        <f t="shared" si="2"/>
        <v>5265</v>
      </c>
      <c r="L27" s="5">
        <f t="shared" si="3"/>
        <v>3948.75</v>
      </c>
      <c r="M27" s="5">
        <f t="shared" si="4"/>
        <v>1316.25</v>
      </c>
      <c r="N27" s="10" t="s">
        <v>27</v>
      </c>
      <c r="O27" s="5"/>
    </row>
    <row r="28" spans="1:15" x14ac:dyDescent="0.25">
      <c r="A28" s="9">
        <v>127</v>
      </c>
      <c r="B28" s="3">
        <v>45766</v>
      </c>
      <c r="C28" s="5">
        <v>2025</v>
      </c>
      <c r="D28" s="6">
        <f t="shared" si="0"/>
        <v>4</v>
      </c>
      <c r="E28" s="7" t="s">
        <v>15</v>
      </c>
      <c r="F28" s="7" t="s">
        <v>19</v>
      </c>
      <c r="G28" s="8" t="s">
        <v>0</v>
      </c>
      <c r="H28" s="5">
        <v>45000</v>
      </c>
      <c r="I28" s="5">
        <v>1</v>
      </c>
      <c r="J28" s="5">
        <f t="shared" si="1"/>
        <v>2250</v>
      </c>
      <c r="K28" s="5">
        <f t="shared" si="2"/>
        <v>47250</v>
      </c>
      <c r="L28" s="5">
        <f t="shared" si="3"/>
        <v>35437.5</v>
      </c>
      <c r="M28" s="5">
        <f t="shared" si="4"/>
        <v>11812.5</v>
      </c>
      <c r="N28" s="10" t="s">
        <v>29</v>
      </c>
      <c r="O28" s="5"/>
    </row>
    <row r="29" spans="1:15" x14ac:dyDescent="0.25">
      <c r="A29" s="9">
        <v>128</v>
      </c>
      <c r="B29" s="4">
        <v>45770</v>
      </c>
      <c r="C29" s="5">
        <v>2025</v>
      </c>
      <c r="D29" s="6">
        <f t="shared" si="0"/>
        <v>4</v>
      </c>
      <c r="E29" s="7" t="s">
        <v>15</v>
      </c>
      <c r="F29" s="7" t="s">
        <v>18</v>
      </c>
      <c r="G29" s="8" t="s">
        <v>22</v>
      </c>
      <c r="H29" s="5">
        <v>2000</v>
      </c>
      <c r="I29" s="5">
        <v>3</v>
      </c>
      <c r="J29" s="5">
        <f t="shared" si="1"/>
        <v>100</v>
      </c>
      <c r="K29" s="5">
        <f t="shared" si="2"/>
        <v>6100</v>
      </c>
      <c r="L29" s="5">
        <f t="shared" si="3"/>
        <v>4575</v>
      </c>
      <c r="M29" s="5">
        <f t="shared" si="4"/>
        <v>1525</v>
      </c>
      <c r="N29" s="10" t="s">
        <v>29</v>
      </c>
      <c r="O29" s="5"/>
    </row>
    <row r="30" spans="1:15" x14ac:dyDescent="0.25">
      <c r="A30" s="9">
        <v>129</v>
      </c>
      <c r="B30" s="3">
        <v>45774</v>
      </c>
      <c r="C30" s="5">
        <v>2025</v>
      </c>
      <c r="D30" s="6">
        <f t="shared" si="0"/>
        <v>4</v>
      </c>
      <c r="E30" s="7" t="s">
        <v>14</v>
      </c>
      <c r="F30" s="7" t="s">
        <v>18</v>
      </c>
      <c r="G30" s="8" t="s">
        <v>0</v>
      </c>
      <c r="H30" s="5">
        <v>3500</v>
      </c>
      <c r="I30" s="5">
        <v>2</v>
      </c>
      <c r="J30" s="5">
        <f t="shared" si="1"/>
        <v>175</v>
      </c>
      <c r="K30" s="5">
        <f t="shared" si="2"/>
        <v>7175</v>
      </c>
      <c r="L30" s="5">
        <f t="shared" si="3"/>
        <v>5381.25</v>
      </c>
      <c r="M30" s="5">
        <f t="shared" si="4"/>
        <v>1793.75</v>
      </c>
      <c r="N30" s="10" t="s">
        <v>28</v>
      </c>
      <c r="O30" s="5"/>
    </row>
    <row r="31" spans="1:15" x14ac:dyDescent="0.25">
      <c r="A31" s="9">
        <v>130</v>
      </c>
      <c r="B31" s="4">
        <v>45779</v>
      </c>
      <c r="C31" s="5">
        <v>2025</v>
      </c>
      <c r="D31" s="6">
        <f t="shared" si="0"/>
        <v>5</v>
      </c>
      <c r="E31" s="7" t="s">
        <v>15</v>
      </c>
      <c r="F31" s="7" t="s">
        <v>18</v>
      </c>
      <c r="G31" s="8" t="s">
        <v>20</v>
      </c>
      <c r="H31" s="5">
        <v>200</v>
      </c>
      <c r="I31" s="5">
        <v>2</v>
      </c>
      <c r="J31" s="5">
        <f t="shared" si="1"/>
        <v>10</v>
      </c>
      <c r="K31" s="5">
        <f t="shared" si="2"/>
        <v>410</v>
      </c>
      <c r="L31" s="5">
        <f t="shared" si="3"/>
        <v>307.5</v>
      </c>
      <c r="M31" s="5">
        <f t="shared" si="4"/>
        <v>102.5</v>
      </c>
      <c r="N31" s="10" t="s">
        <v>26</v>
      </c>
      <c r="O31" s="5"/>
    </row>
    <row r="32" spans="1:15" x14ac:dyDescent="0.25">
      <c r="A32" s="9">
        <v>131</v>
      </c>
      <c r="B32" s="3">
        <v>45783</v>
      </c>
      <c r="C32" s="5">
        <v>2025</v>
      </c>
      <c r="D32" s="6">
        <f t="shared" si="0"/>
        <v>5</v>
      </c>
      <c r="E32" s="7" t="s">
        <v>14</v>
      </c>
      <c r="F32" s="7" t="s">
        <v>19</v>
      </c>
      <c r="G32" s="8" t="s">
        <v>21</v>
      </c>
      <c r="H32" s="5">
        <v>350</v>
      </c>
      <c r="I32" s="5">
        <v>3</v>
      </c>
      <c r="J32" s="5">
        <f t="shared" si="1"/>
        <v>17.5</v>
      </c>
      <c r="K32" s="5">
        <f t="shared" si="2"/>
        <v>1067.5</v>
      </c>
      <c r="L32" s="5">
        <f t="shared" si="3"/>
        <v>800.625</v>
      </c>
      <c r="M32" s="5">
        <f t="shared" si="4"/>
        <v>266.875</v>
      </c>
      <c r="N32" s="10" t="s">
        <v>26</v>
      </c>
      <c r="O32" s="5"/>
    </row>
    <row r="33" spans="1:15" x14ac:dyDescent="0.25">
      <c r="A33" s="9">
        <v>132</v>
      </c>
      <c r="B33" s="4">
        <v>45787</v>
      </c>
      <c r="C33" s="5">
        <v>2025</v>
      </c>
      <c r="D33" s="6">
        <f t="shared" si="0"/>
        <v>5</v>
      </c>
      <c r="E33" s="7" t="s">
        <v>16</v>
      </c>
      <c r="F33" s="7" t="s">
        <v>19</v>
      </c>
      <c r="G33" s="8" t="s">
        <v>22</v>
      </c>
      <c r="H33" s="5">
        <v>1600</v>
      </c>
      <c r="I33" s="5">
        <v>1</v>
      </c>
      <c r="J33" s="5">
        <f t="shared" si="1"/>
        <v>80</v>
      </c>
      <c r="K33" s="5">
        <f t="shared" si="2"/>
        <v>1680</v>
      </c>
      <c r="L33" s="5">
        <f t="shared" si="3"/>
        <v>1260</v>
      </c>
      <c r="M33" s="5">
        <f t="shared" si="4"/>
        <v>420</v>
      </c>
      <c r="N33" s="10" t="s">
        <v>27</v>
      </c>
      <c r="O33" s="5"/>
    </row>
    <row r="34" spans="1:15" x14ac:dyDescent="0.25">
      <c r="A34" s="9">
        <v>133</v>
      </c>
      <c r="B34" s="3">
        <v>45792</v>
      </c>
      <c r="C34" s="5">
        <v>2025</v>
      </c>
      <c r="D34" s="6">
        <f t="shared" si="0"/>
        <v>5</v>
      </c>
      <c r="E34" s="7" t="s">
        <v>15</v>
      </c>
      <c r="F34" s="7" t="s">
        <v>18</v>
      </c>
      <c r="G34" s="8" t="s">
        <v>0</v>
      </c>
      <c r="H34" s="5">
        <v>5600</v>
      </c>
      <c r="I34" s="5">
        <v>1</v>
      </c>
      <c r="J34" s="5">
        <f t="shared" si="1"/>
        <v>280</v>
      </c>
      <c r="K34" s="5">
        <f t="shared" si="2"/>
        <v>5880</v>
      </c>
      <c r="L34" s="5">
        <f t="shared" si="3"/>
        <v>4410</v>
      </c>
      <c r="M34" s="5">
        <f t="shared" si="4"/>
        <v>1470</v>
      </c>
      <c r="N34" s="10" t="s">
        <v>28</v>
      </c>
      <c r="O34" s="5"/>
    </row>
    <row r="35" spans="1:15" x14ac:dyDescent="0.25">
      <c r="A35" s="9">
        <v>134</v>
      </c>
      <c r="B35" s="4">
        <v>45796</v>
      </c>
      <c r="C35" s="5">
        <v>2025</v>
      </c>
      <c r="D35" s="6">
        <f t="shared" si="0"/>
        <v>5</v>
      </c>
      <c r="E35" s="7" t="s">
        <v>16</v>
      </c>
      <c r="F35" s="7" t="s">
        <v>18</v>
      </c>
      <c r="G35" s="8" t="s">
        <v>23</v>
      </c>
      <c r="H35" s="5">
        <v>800</v>
      </c>
      <c r="I35" s="5">
        <v>5</v>
      </c>
      <c r="J35" s="5">
        <f t="shared" si="1"/>
        <v>40</v>
      </c>
      <c r="K35" s="5">
        <f t="shared" si="2"/>
        <v>4040</v>
      </c>
      <c r="L35" s="5">
        <f t="shared" si="3"/>
        <v>3030</v>
      </c>
      <c r="M35" s="5">
        <f t="shared" si="4"/>
        <v>1010</v>
      </c>
      <c r="N35" s="10" t="s">
        <v>29</v>
      </c>
      <c r="O35" s="5"/>
    </row>
    <row r="36" spans="1:15" x14ac:dyDescent="0.25">
      <c r="A36" s="9">
        <v>135</v>
      </c>
      <c r="B36" s="3">
        <v>45801</v>
      </c>
      <c r="C36" s="5">
        <v>2025</v>
      </c>
      <c r="D36" s="6">
        <f t="shared" si="0"/>
        <v>5</v>
      </c>
      <c r="E36" s="7" t="s">
        <v>14</v>
      </c>
      <c r="F36" s="7" t="s">
        <v>19</v>
      </c>
      <c r="G36" s="8" t="s">
        <v>22</v>
      </c>
      <c r="H36" s="5">
        <v>3500</v>
      </c>
      <c r="I36" s="5">
        <v>3</v>
      </c>
      <c r="J36" s="5">
        <f t="shared" si="1"/>
        <v>175</v>
      </c>
      <c r="K36" s="5">
        <f t="shared" si="2"/>
        <v>10675</v>
      </c>
      <c r="L36" s="5">
        <f t="shared" si="3"/>
        <v>8006.25</v>
      </c>
      <c r="M36" s="5">
        <f t="shared" si="4"/>
        <v>2668.75</v>
      </c>
      <c r="N36" s="10" t="s">
        <v>26</v>
      </c>
      <c r="O36" s="5"/>
    </row>
    <row r="37" spans="1:15" x14ac:dyDescent="0.25">
      <c r="A37" s="9">
        <v>136</v>
      </c>
      <c r="B37" s="4">
        <v>45805</v>
      </c>
      <c r="C37" s="5">
        <v>2025</v>
      </c>
      <c r="D37" s="6">
        <f t="shared" si="0"/>
        <v>5</v>
      </c>
      <c r="E37" s="7" t="s">
        <v>15</v>
      </c>
      <c r="F37" s="7" t="s">
        <v>18</v>
      </c>
      <c r="G37" s="8" t="s">
        <v>20</v>
      </c>
      <c r="H37" s="5">
        <v>350</v>
      </c>
      <c r="I37" s="5">
        <v>3</v>
      </c>
      <c r="J37" s="5">
        <f t="shared" si="1"/>
        <v>17.5</v>
      </c>
      <c r="K37" s="5">
        <f t="shared" si="2"/>
        <v>1067.5</v>
      </c>
      <c r="L37" s="5">
        <f t="shared" si="3"/>
        <v>800.625</v>
      </c>
      <c r="M37" s="5">
        <f t="shared" si="4"/>
        <v>266.875</v>
      </c>
      <c r="N37" s="10" t="s">
        <v>26</v>
      </c>
      <c r="O37" s="5"/>
    </row>
    <row r="38" spans="1:15" x14ac:dyDescent="0.25">
      <c r="A38" s="9">
        <v>137</v>
      </c>
      <c r="B38" s="3">
        <v>45810</v>
      </c>
      <c r="C38" s="5">
        <v>2025</v>
      </c>
      <c r="D38" s="6">
        <f t="shared" si="0"/>
        <v>6</v>
      </c>
      <c r="E38" s="7" t="s">
        <v>16</v>
      </c>
      <c r="F38" s="7" t="s">
        <v>19</v>
      </c>
      <c r="G38" s="8" t="s">
        <v>24</v>
      </c>
      <c r="H38" s="5">
        <v>800</v>
      </c>
      <c r="I38" s="5">
        <v>2</v>
      </c>
      <c r="J38" s="5">
        <f t="shared" si="1"/>
        <v>40</v>
      </c>
      <c r="K38" s="5">
        <f t="shared" si="2"/>
        <v>1640</v>
      </c>
      <c r="L38" s="5">
        <f t="shared" si="3"/>
        <v>1230</v>
      </c>
      <c r="M38" s="5">
        <f t="shared" si="4"/>
        <v>410</v>
      </c>
      <c r="N38" s="10" t="s">
        <v>27</v>
      </c>
      <c r="O38" s="5"/>
    </row>
    <row r="39" spans="1:15" x14ac:dyDescent="0.25">
      <c r="A39" s="9">
        <v>138</v>
      </c>
      <c r="B39" s="4">
        <v>45815</v>
      </c>
      <c r="C39" s="5">
        <v>2025</v>
      </c>
      <c r="D39" s="6">
        <f t="shared" si="0"/>
        <v>6</v>
      </c>
      <c r="E39" s="7" t="s">
        <v>16</v>
      </c>
      <c r="F39" s="7" t="s">
        <v>19</v>
      </c>
      <c r="G39" s="8" t="s">
        <v>25</v>
      </c>
      <c r="H39" s="5">
        <v>90000</v>
      </c>
      <c r="I39" s="5">
        <v>1</v>
      </c>
      <c r="J39" s="5">
        <f t="shared" si="1"/>
        <v>4500</v>
      </c>
      <c r="K39" s="5">
        <f t="shared" si="2"/>
        <v>94500</v>
      </c>
      <c r="L39" s="5">
        <f t="shared" si="3"/>
        <v>70875</v>
      </c>
      <c r="M39" s="5">
        <f t="shared" si="4"/>
        <v>23625</v>
      </c>
      <c r="N39" s="10" t="s">
        <v>28</v>
      </c>
      <c r="O39" s="5"/>
    </row>
    <row r="40" spans="1:15" x14ac:dyDescent="0.25">
      <c r="A40" s="9">
        <v>139</v>
      </c>
      <c r="B40" s="3">
        <v>45820</v>
      </c>
      <c r="C40" s="5">
        <v>2025</v>
      </c>
      <c r="D40" s="6">
        <f t="shared" si="0"/>
        <v>6</v>
      </c>
      <c r="E40" s="7" t="s">
        <v>15</v>
      </c>
      <c r="F40" s="7" t="s">
        <v>18</v>
      </c>
      <c r="G40" s="8" t="s">
        <v>25</v>
      </c>
      <c r="H40" s="5">
        <v>60000</v>
      </c>
      <c r="I40" s="5">
        <v>2</v>
      </c>
      <c r="J40" s="5">
        <f t="shared" si="1"/>
        <v>3000</v>
      </c>
      <c r="K40" s="5">
        <f t="shared" si="2"/>
        <v>123000</v>
      </c>
      <c r="L40" s="5">
        <f t="shared" si="3"/>
        <v>92250</v>
      </c>
      <c r="M40" s="5">
        <f t="shared" si="4"/>
        <v>30750</v>
      </c>
      <c r="N40" s="10" t="s">
        <v>29</v>
      </c>
      <c r="O40" s="5"/>
    </row>
    <row r="41" spans="1:15" x14ac:dyDescent="0.25">
      <c r="A41" s="15">
        <v>140</v>
      </c>
      <c r="B41" s="16">
        <v>45824</v>
      </c>
      <c r="C41" s="17">
        <v>2025</v>
      </c>
      <c r="D41" s="18">
        <f t="shared" si="0"/>
        <v>6</v>
      </c>
      <c r="E41" s="19" t="s">
        <v>14</v>
      </c>
      <c r="F41" s="19" t="s">
        <v>18</v>
      </c>
      <c r="G41" s="20" t="s">
        <v>24</v>
      </c>
      <c r="H41" s="17">
        <v>1300</v>
      </c>
      <c r="I41" s="17">
        <v>4</v>
      </c>
      <c r="J41" s="17">
        <f t="shared" si="1"/>
        <v>65</v>
      </c>
      <c r="K41" s="17">
        <f t="shared" si="2"/>
        <v>5265</v>
      </c>
      <c r="L41" s="17">
        <f t="shared" si="3"/>
        <v>3948.75</v>
      </c>
      <c r="M41" s="17">
        <f t="shared" si="4"/>
        <v>1316.25</v>
      </c>
      <c r="N41" s="21" t="s">
        <v>27</v>
      </c>
      <c r="O41" s="17"/>
    </row>
    <row r="42" spans="1:15" x14ac:dyDescent="0.25">
      <c r="B42" s="1"/>
    </row>
    <row r="43" spans="1:15" x14ac:dyDescent="0.25">
      <c r="B43" s="1"/>
    </row>
    <row r="44" spans="1:15" x14ac:dyDescent="0.25">
      <c r="B44" s="1"/>
    </row>
    <row r="45" spans="1:15" x14ac:dyDescent="0.25">
      <c r="B45" s="1"/>
    </row>
    <row r="46" spans="1:15" x14ac:dyDescent="0.25">
      <c r="B46" s="1"/>
    </row>
    <row r="47" spans="1:15" x14ac:dyDescent="0.25">
      <c r="B47" s="1"/>
    </row>
    <row r="48" spans="1:15" x14ac:dyDescent="0.25">
      <c r="B48" s="1"/>
    </row>
    <row r="49" spans="2:2" x14ac:dyDescent="0.25">
      <c r="B49" s="1"/>
    </row>
    <row r="50" spans="2:2" hidden="1" x14ac:dyDescent="0.25">
      <c r="B50" s="1"/>
    </row>
    <row r="51" spans="2:2" hidden="1" x14ac:dyDescent="0.25">
      <c r="B51" s="1"/>
    </row>
    <row r="52" spans="2:2" hidden="1" x14ac:dyDescent="0.25">
      <c r="B52" s="1"/>
    </row>
    <row r="53" spans="2:2" hidden="1" x14ac:dyDescent="0.25">
      <c r="B53" s="1"/>
    </row>
    <row r="54" spans="2:2" hidden="1" x14ac:dyDescent="0.25">
      <c r="B54"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B70C9-1C79-403B-B283-FD239FC1BC73}">
  <sheetPr>
    <tabColor theme="5" tint="0.59999389629810485"/>
  </sheetPr>
  <dimension ref="A1:DT61"/>
  <sheetViews>
    <sheetView zoomScale="50" zoomScaleNormal="43" workbookViewId="0">
      <selection activeCell="B39" sqref="B39"/>
    </sheetView>
  </sheetViews>
  <sheetFormatPr defaultColWidth="0" defaultRowHeight="13.2" customHeight="1" zeroHeight="1" x14ac:dyDescent="0.25"/>
  <cols>
    <col min="1" max="1" width="38.109375" bestFit="1" customWidth="1"/>
    <col min="2" max="2" width="21" bestFit="1" customWidth="1"/>
    <col min="3" max="3" width="13.88671875" bestFit="1" customWidth="1"/>
    <col min="4" max="4" width="9.21875" bestFit="1" customWidth="1"/>
    <col min="5" max="5" width="11.33203125" bestFit="1" customWidth="1"/>
    <col min="6" max="6" width="8" bestFit="1" customWidth="1"/>
    <col min="7" max="7" width="14.5546875" bestFit="1" customWidth="1"/>
    <col min="8" max="9" width="26.33203125" bestFit="1" customWidth="1"/>
    <col min="10" max="10" width="8" bestFit="1" customWidth="1"/>
    <col min="11" max="11" width="15.44140625" bestFit="1" customWidth="1"/>
    <col min="12" max="12" width="18.5546875" customWidth="1"/>
    <col min="13" max="13" width="8" bestFit="1" customWidth="1"/>
    <col min="14" max="14" width="11.21875" bestFit="1" customWidth="1"/>
    <col min="15" max="15" width="8.33203125" bestFit="1" customWidth="1"/>
    <col min="16" max="16" width="8" bestFit="1" customWidth="1"/>
    <col min="17" max="17" width="7" bestFit="1" customWidth="1"/>
    <col min="18" max="18" width="8" bestFit="1" customWidth="1"/>
    <col min="19" max="19" width="5" bestFit="1" customWidth="1"/>
    <col min="20" max="20" width="6" bestFit="1" customWidth="1"/>
    <col min="21" max="21" width="5" hidden="1" customWidth="1"/>
    <col min="22" max="22" width="8" hidden="1" customWidth="1"/>
    <col min="23" max="23" width="7" hidden="1" customWidth="1"/>
    <col min="24" max="24" width="8" hidden="1" customWidth="1"/>
    <col min="25" max="25" width="5" hidden="1" customWidth="1"/>
    <col min="26" max="26" width="6" hidden="1" customWidth="1"/>
    <col min="27" max="27" width="5" hidden="1" customWidth="1"/>
    <col min="28" max="28" width="8" hidden="1" customWidth="1"/>
    <col min="29" max="29" width="7" hidden="1" customWidth="1"/>
    <col min="30" max="30" width="11.109375" hidden="1" customWidth="1"/>
    <col min="31" max="32" width="5" hidden="1" customWidth="1"/>
    <col min="33" max="33" width="6" hidden="1" customWidth="1"/>
    <col min="34" max="36" width="5" hidden="1" customWidth="1"/>
    <col min="37" max="37" width="6" hidden="1" customWidth="1"/>
    <col min="38" max="40" width="5" hidden="1" customWidth="1"/>
    <col min="41" max="41" width="6" hidden="1" customWidth="1"/>
    <col min="42" max="42" width="11.33203125" hidden="1" customWidth="1"/>
    <col min="43" max="43" width="5.88671875" hidden="1" customWidth="1"/>
    <col min="44" max="44" width="5" hidden="1" customWidth="1"/>
    <col min="45" max="45" width="9" hidden="1" customWidth="1"/>
    <col min="46" max="47" width="6.88671875" hidden="1" customWidth="1"/>
    <col min="48" max="49" width="9" hidden="1" customWidth="1"/>
    <col min="50" max="50" width="6.88671875" hidden="1" customWidth="1"/>
    <col min="51" max="51" width="8" hidden="1" customWidth="1"/>
    <col min="52" max="53" width="7.88671875" hidden="1" customWidth="1"/>
    <col min="54" max="54" width="20.5546875" hidden="1" customWidth="1"/>
    <col min="55" max="55" width="25.44140625" hidden="1" customWidth="1"/>
    <col min="56" max="56" width="23.5546875" hidden="1" customWidth="1"/>
    <col min="57" max="57" width="31.21875" hidden="1" customWidth="1"/>
    <col min="58" max="120" width="26.21875" hidden="1" customWidth="1"/>
    <col min="121" max="121" width="20.5546875" hidden="1" customWidth="1"/>
    <col min="122" max="122" width="25.44140625" hidden="1" customWidth="1"/>
    <col min="123" max="123" width="23.5546875" hidden="1" customWidth="1"/>
    <col min="124" max="124" width="31.21875" hidden="1" customWidth="1"/>
    <col min="125" max="16384" width="8.88671875" hidden="1"/>
  </cols>
  <sheetData>
    <row r="1" spans="1:42" x14ac:dyDescent="0.25"/>
    <row r="2" spans="1:42" x14ac:dyDescent="0.25"/>
    <row r="3" spans="1:42" x14ac:dyDescent="0.25"/>
    <row r="4" spans="1:42" x14ac:dyDescent="0.25">
      <c r="A4" s="22" t="s">
        <v>4</v>
      </c>
      <c r="B4" t="s" vm="3">
        <v>44</v>
      </c>
    </row>
    <row r="5" spans="1:42" x14ac:dyDescent="0.25">
      <c r="A5" s="22" t="s">
        <v>17</v>
      </c>
      <c r="B5" t="s" vm="1">
        <v>34</v>
      </c>
      <c r="K5" s="22" t="s">
        <v>5</v>
      </c>
      <c r="L5" t="s">
        <v>43</v>
      </c>
    </row>
    <row r="6" spans="1:42" x14ac:dyDescent="0.25">
      <c r="A6" s="22" t="s">
        <v>13</v>
      </c>
      <c r="B6" t="s" vm="2">
        <v>29</v>
      </c>
      <c r="K6" s="22" t="s">
        <v>13</v>
      </c>
      <c r="L6" t="s">
        <v>43</v>
      </c>
    </row>
    <row r="7" spans="1:42" x14ac:dyDescent="0.25"/>
    <row r="8" spans="1:42" s="2" customFormat="1" x14ac:dyDescent="0.25">
      <c r="A8"/>
      <c r="B8" s="22" t="s">
        <v>35</v>
      </c>
      <c r="C8"/>
      <c r="D8"/>
      <c r="E8"/>
      <c r="F8"/>
      <c r="G8" s="22" t="s">
        <v>40</v>
      </c>
      <c r="H8" t="s">
        <v>42</v>
      </c>
      <c r="I8" t="s">
        <v>31</v>
      </c>
      <c r="J8"/>
      <c r="K8" s="22" t="s">
        <v>40</v>
      </c>
      <c r="L8" t="s">
        <v>33</v>
      </c>
      <c r="M8"/>
      <c r="N8" s="22" t="s">
        <v>40</v>
      </c>
      <c r="O8" t="s">
        <v>33</v>
      </c>
      <c r="P8"/>
      <c r="Q8"/>
      <c r="R8"/>
      <c r="S8"/>
      <c r="T8"/>
      <c r="U8"/>
      <c r="V8"/>
      <c r="W8"/>
      <c r="X8"/>
      <c r="Y8"/>
      <c r="Z8"/>
      <c r="AA8"/>
      <c r="AB8"/>
      <c r="AC8"/>
      <c r="AD8"/>
      <c r="AE8"/>
      <c r="AF8"/>
      <c r="AG8"/>
      <c r="AH8"/>
      <c r="AI8"/>
      <c r="AJ8"/>
      <c r="AK8"/>
      <c r="AL8"/>
      <c r="AM8"/>
      <c r="AN8"/>
      <c r="AO8"/>
      <c r="AP8"/>
    </row>
    <row r="9" spans="1:42" s="2" customFormat="1" x14ac:dyDescent="0.25">
      <c r="A9" s="22" t="s">
        <v>40</v>
      </c>
      <c r="B9" t="s">
        <v>15</v>
      </c>
      <c r="C9" t="s">
        <v>41</v>
      </c>
      <c r="D9"/>
      <c r="E9"/>
      <c r="F9"/>
      <c r="G9" s="23" t="s">
        <v>23</v>
      </c>
      <c r="H9">
        <v>15</v>
      </c>
      <c r="I9">
        <v>12120</v>
      </c>
      <c r="J9"/>
      <c r="K9" s="23" t="s">
        <v>23</v>
      </c>
      <c r="L9">
        <v>3030</v>
      </c>
      <c r="M9"/>
      <c r="N9" s="30">
        <v>1</v>
      </c>
      <c r="O9">
        <v>5063.125</v>
      </c>
      <c r="P9"/>
      <c r="Q9"/>
      <c r="R9"/>
      <c r="S9"/>
      <c r="T9"/>
      <c r="U9"/>
      <c r="V9"/>
      <c r="W9"/>
      <c r="X9"/>
      <c r="Y9"/>
      <c r="Z9"/>
      <c r="AA9"/>
      <c r="AB9"/>
      <c r="AC9"/>
      <c r="AD9"/>
      <c r="AE9"/>
      <c r="AF9"/>
      <c r="AG9"/>
      <c r="AH9"/>
      <c r="AI9"/>
      <c r="AJ9"/>
      <c r="AK9"/>
      <c r="AL9"/>
      <c r="AM9"/>
      <c r="AN9"/>
      <c r="AO9"/>
      <c r="AP9"/>
    </row>
    <row r="10" spans="1:42" s="2" customFormat="1" x14ac:dyDescent="0.25">
      <c r="A10" s="23" t="s">
        <v>25</v>
      </c>
      <c r="B10"/>
      <c r="C10"/>
      <c r="D10"/>
      <c r="E10"/>
      <c r="F10"/>
      <c r="G10" s="23" t="s">
        <v>22</v>
      </c>
      <c r="H10">
        <v>18</v>
      </c>
      <c r="I10">
        <v>49265</v>
      </c>
      <c r="J10"/>
      <c r="K10" s="23" t="s">
        <v>22</v>
      </c>
      <c r="L10">
        <v>12316.25</v>
      </c>
      <c r="M10"/>
      <c r="N10" s="24" t="s">
        <v>23</v>
      </c>
      <c r="O10">
        <v>1010</v>
      </c>
      <c r="P10"/>
      <c r="Q10"/>
      <c r="R10"/>
      <c r="S10"/>
      <c r="T10"/>
      <c r="U10"/>
      <c r="V10"/>
      <c r="W10"/>
      <c r="X10"/>
      <c r="Y10"/>
      <c r="Z10"/>
      <c r="AA10"/>
      <c r="AB10"/>
      <c r="AC10"/>
      <c r="AD10"/>
      <c r="AE10"/>
      <c r="AF10"/>
      <c r="AG10"/>
      <c r="AH10"/>
      <c r="AI10"/>
      <c r="AJ10"/>
      <c r="AK10"/>
      <c r="AL10"/>
      <c r="AM10"/>
      <c r="AN10"/>
      <c r="AO10"/>
      <c r="AP10"/>
    </row>
    <row r="11" spans="1:42" s="2" customFormat="1" x14ac:dyDescent="0.25">
      <c r="A11" s="24" t="s">
        <v>30</v>
      </c>
      <c r="B11">
        <v>3000</v>
      </c>
      <c r="C11">
        <v>3000</v>
      </c>
      <c r="D11"/>
      <c r="E11"/>
      <c r="F11"/>
      <c r="G11" s="23" t="s">
        <v>0</v>
      </c>
      <c r="H11">
        <v>11</v>
      </c>
      <c r="I11">
        <v>133665</v>
      </c>
      <c r="J11"/>
      <c r="K11" s="23" t="s">
        <v>0</v>
      </c>
      <c r="L11">
        <v>33416.25</v>
      </c>
      <c r="M11"/>
      <c r="N11" s="24" t="s">
        <v>22</v>
      </c>
      <c r="O11">
        <v>420</v>
      </c>
      <c r="P11"/>
      <c r="Q11"/>
      <c r="R11"/>
      <c r="S11"/>
      <c r="T11"/>
      <c r="U11"/>
      <c r="V11"/>
      <c r="W11"/>
      <c r="X11"/>
      <c r="Y11"/>
      <c r="Z11"/>
      <c r="AA11"/>
      <c r="AB11"/>
      <c r="AC11"/>
      <c r="AD11"/>
      <c r="AE11"/>
      <c r="AF11"/>
      <c r="AG11"/>
      <c r="AH11"/>
      <c r="AI11"/>
      <c r="AJ11"/>
      <c r="AK11"/>
      <c r="AL11"/>
      <c r="AM11"/>
      <c r="AN11"/>
      <c r="AO11"/>
      <c r="AP11"/>
    </row>
    <row r="12" spans="1:42" s="2" customFormat="1" x14ac:dyDescent="0.25">
      <c r="A12" s="24" t="s">
        <v>31</v>
      </c>
      <c r="B12">
        <v>123000</v>
      </c>
      <c r="C12">
        <v>123000</v>
      </c>
      <c r="D12"/>
      <c r="E12"/>
      <c r="F12"/>
      <c r="G12" s="23" t="s">
        <v>21</v>
      </c>
      <c r="H12">
        <v>9</v>
      </c>
      <c r="I12">
        <v>3202.5</v>
      </c>
      <c r="J12"/>
      <c r="K12" s="23" t="s">
        <v>21</v>
      </c>
      <c r="L12">
        <v>800.625</v>
      </c>
      <c r="M12"/>
      <c r="N12" s="24" t="s">
        <v>0</v>
      </c>
      <c r="O12">
        <v>3263.75</v>
      </c>
      <c r="P12"/>
      <c r="Q12"/>
      <c r="R12"/>
      <c r="S12"/>
      <c r="T12"/>
      <c r="U12"/>
      <c r="V12"/>
      <c r="W12"/>
      <c r="X12"/>
      <c r="Y12"/>
      <c r="Z12"/>
      <c r="AA12"/>
      <c r="AB12"/>
      <c r="AC12"/>
      <c r="AD12"/>
      <c r="AE12"/>
      <c r="AF12"/>
      <c r="AG12"/>
      <c r="AH12"/>
      <c r="AI12"/>
      <c r="AJ12"/>
      <c r="AK12"/>
      <c r="AL12"/>
      <c r="AM12"/>
      <c r="AN12"/>
      <c r="AO12"/>
      <c r="AP12"/>
    </row>
    <row r="13" spans="1:42" s="2" customFormat="1" x14ac:dyDescent="0.25">
      <c r="A13" s="24" t="s">
        <v>33</v>
      </c>
      <c r="B13">
        <v>30750</v>
      </c>
      <c r="C13">
        <v>30750</v>
      </c>
      <c r="D13"/>
      <c r="E13"/>
      <c r="F13"/>
      <c r="G13" s="23" t="s">
        <v>25</v>
      </c>
      <c r="H13">
        <v>9</v>
      </c>
      <c r="I13">
        <v>652500</v>
      </c>
      <c r="J13"/>
      <c r="K13" s="23" t="s">
        <v>25</v>
      </c>
      <c r="L13">
        <v>163125</v>
      </c>
      <c r="M13"/>
      <c r="N13" s="24" t="s">
        <v>21</v>
      </c>
      <c r="O13">
        <v>266.875</v>
      </c>
      <c r="P13"/>
      <c r="Q13"/>
      <c r="R13"/>
      <c r="S13"/>
      <c r="T13"/>
      <c r="U13"/>
      <c r="V13"/>
      <c r="W13"/>
      <c r="X13"/>
      <c r="Y13"/>
      <c r="Z13"/>
      <c r="AA13"/>
      <c r="AB13"/>
      <c r="AC13"/>
      <c r="AD13"/>
      <c r="AE13"/>
      <c r="AF13"/>
      <c r="AG13"/>
      <c r="AH13"/>
      <c r="AI13"/>
      <c r="AJ13"/>
      <c r="AK13"/>
      <c r="AL13"/>
      <c r="AM13"/>
      <c r="AN13"/>
      <c r="AO13"/>
      <c r="AP13"/>
    </row>
    <row r="14" spans="1:42" s="2" customFormat="1" x14ac:dyDescent="0.25">
      <c r="A14" s="24" t="s">
        <v>32</v>
      </c>
      <c r="B14">
        <v>92250</v>
      </c>
      <c r="C14">
        <v>92250</v>
      </c>
      <c r="D14"/>
      <c r="E14"/>
      <c r="F14"/>
      <c r="G14" s="23" t="s">
        <v>20</v>
      </c>
      <c r="H14">
        <v>15</v>
      </c>
      <c r="I14">
        <v>4432.5</v>
      </c>
      <c r="J14"/>
      <c r="K14" s="23" t="s">
        <v>20</v>
      </c>
      <c r="L14">
        <v>1108.125</v>
      </c>
      <c r="M14"/>
      <c r="N14" s="24" t="s">
        <v>20</v>
      </c>
      <c r="O14">
        <v>102.5</v>
      </c>
      <c r="P14"/>
      <c r="Q14"/>
      <c r="R14"/>
      <c r="S14"/>
      <c r="T14"/>
      <c r="U14"/>
      <c r="V14"/>
      <c r="W14"/>
      <c r="X14"/>
      <c r="Y14"/>
      <c r="Z14"/>
      <c r="AA14"/>
      <c r="AB14"/>
      <c r="AC14"/>
      <c r="AD14"/>
      <c r="AE14"/>
      <c r="AF14"/>
      <c r="AG14"/>
      <c r="AH14"/>
      <c r="AI14"/>
      <c r="AJ14"/>
      <c r="AK14"/>
      <c r="AL14"/>
      <c r="AM14"/>
      <c r="AN14"/>
      <c r="AO14"/>
      <c r="AP14"/>
    </row>
    <row r="15" spans="1:42" s="2" customFormat="1" x14ac:dyDescent="0.25">
      <c r="A15" s="23" t="s">
        <v>36</v>
      </c>
      <c r="B15">
        <v>3000</v>
      </c>
      <c r="C15">
        <v>3000</v>
      </c>
      <c r="D15"/>
      <c r="E15"/>
      <c r="F15"/>
      <c r="G15" s="23" t="s">
        <v>24</v>
      </c>
      <c r="H15">
        <v>18</v>
      </c>
      <c r="I15">
        <v>20715</v>
      </c>
      <c r="J15"/>
      <c r="K15" s="23" t="s">
        <v>24</v>
      </c>
      <c r="L15">
        <v>5178.75</v>
      </c>
      <c r="M15"/>
      <c r="N15" s="30">
        <v>2</v>
      </c>
      <c r="O15">
        <v>72374.375</v>
      </c>
      <c r="P15"/>
      <c r="Q15"/>
      <c r="R15"/>
      <c r="S15"/>
      <c r="T15"/>
      <c r="U15"/>
      <c r="V15"/>
      <c r="W15"/>
      <c r="X15"/>
      <c r="Y15"/>
      <c r="Z15"/>
      <c r="AA15"/>
      <c r="AB15"/>
      <c r="AC15"/>
      <c r="AD15"/>
      <c r="AE15"/>
      <c r="AF15"/>
      <c r="AG15"/>
      <c r="AH15"/>
      <c r="AI15"/>
      <c r="AJ15"/>
      <c r="AK15"/>
      <c r="AL15"/>
      <c r="AM15"/>
      <c r="AN15"/>
      <c r="AO15"/>
      <c r="AP15"/>
    </row>
    <row r="16" spans="1:42" s="2" customFormat="1" x14ac:dyDescent="0.25">
      <c r="A16" s="23" t="s">
        <v>37</v>
      </c>
      <c r="B16">
        <v>123000</v>
      </c>
      <c r="C16">
        <v>123000</v>
      </c>
      <c r="D16"/>
      <c r="E16"/>
      <c r="F16"/>
      <c r="G16" s="23" t="s">
        <v>41</v>
      </c>
      <c r="H16">
        <v>95</v>
      </c>
      <c r="I16">
        <v>875900</v>
      </c>
      <c r="J16"/>
      <c r="K16" s="23" t="s">
        <v>41</v>
      </c>
      <c r="L16">
        <v>218975</v>
      </c>
      <c r="M16"/>
      <c r="N16" s="24" t="s">
        <v>22</v>
      </c>
      <c r="O16">
        <v>4193.75</v>
      </c>
      <c r="P16"/>
      <c r="Q16"/>
      <c r="R16"/>
      <c r="S16"/>
      <c r="T16"/>
      <c r="U16"/>
      <c r="V16"/>
      <c r="W16"/>
      <c r="X16"/>
      <c r="Y16"/>
      <c r="Z16"/>
      <c r="AA16"/>
      <c r="AB16"/>
      <c r="AC16"/>
      <c r="AD16"/>
      <c r="AE16"/>
      <c r="AF16"/>
      <c r="AG16"/>
      <c r="AH16"/>
      <c r="AI16"/>
      <c r="AJ16"/>
      <c r="AK16"/>
      <c r="AL16"/>
      <c r="AM16"/>
      <c r="AN16"/>
      <c r="AO16"/>
      <c r="AP16"/>
    </row>
    <row r="17" spans="1:42" s="2" customFormat="1" x14ac:dyDescent="0.25">
      <c r="A17" s="23" t="s">
        <v>38</v>
      </c>
      <c r="B17">
        <v>30750</v>
      </c>
      <c r="C17">
        <v>30750</v>
      </c>
      <c r="D17"/>
      <c r="E17"/>
      <c r="F17"/>
      <c r="G17"/>
      <c r="H17"/>
      <c r="I17"/>
      <c r="J17"/>
      <c r="K17"/>
      <c r="L17"/>
      <c r="M17"/>
      <c r="N17" s="24" t="s">
        <v>0</v>
      </c>
      <c r="O17">
        <v>11812.5</v>
      </c>
      <c r="P17"/>
      <c r="Q17"/>
      <c r="R17"/>
      <c r="S17"/>
      <c r="T17"/>
      <c r="U17"/>
      <c r="V17"/>
      <c r="W17"/>
      <c r="X17"/>
      <c r="Y17"/>
      <c r="Z17"/>
      <c r="AA17"/>
      <c r="AB17"/>
      <c r="AC17"/>
      <c r="AD17"/>
      <c r="AE17"/>
      <c r="AF17"/>
      <c r="AG17"/>
      <c r="AH17"/>
      <c r="AI17"/>
      <c r="AJ17"/>
      <c r="AK17"/>
      <c r="AL17"/>
      <c r="AM17"/>
      <c r="AN17"/>
      <c r="AO17"/>
      <c r="AP17"/>
    </row>
    <row r="18" spans="1:42" s="2" customFormat="1" x14ac:dyDescent="0.25">
      <c r="A18" s="23" t="s">
        <v>39</v>
      </c>
      <c r="B18">
        <v>92250</v>
      </c>
      <c r="C18">
        <v>92250</v>
      </c>
      <c r="D18"/>
      <c r="E18"/>
      <c r="F18"/>
      <c r="G18" s="22" t="s">
        <v>40</v>
      </c>
      <c r="H18" t="s">
        <v>33</v>
      </c>
      <c r="I18" t="s">
        <v>32</v>
      </c>
      <c r="J18"/>
      <c r="K18" s="25" t="s">
        <v>40</v>
      </c>
      <c r="L18" s="25" t="s">
        <v>30</v>
      </c>
      <c r="M18"/>
      <c r="N18" s="24" t="s">
        <v>25</v>
      </c>
      <c r="O18">
        <v>54375</v>
      </c>
      <c r="P18"/>
      <c r="Q18"/>
      <c r="R18"/>
      <c r="S18"/>
      <c r="T18"/>
      <c r="U18"/>
      <c r="V18"/>
      <c r="W18"/>
      <c r="X18"/>
      <c r="Y18"/>
      <c r="Z18"/>
      <c r="AA18"/>
      <c r="AB18"/>
      <c r="AC18"/>
      <c r="AD18"/>
      <c r="AE18"/>
      <c r="AF18"/>
      <c r="AG18"/>
      <c r="AH18"/>
      <c r="AI18"/>
      <c r="AJ18"/>
      <c r="AK18"/>
      <c r="AL18"/>
      <c r="AM18"/>
      <c r="AN18"/>
      <c r="AO18"/>
      <c r="AP18"/>
    </row>
    <row r="19" spans="1:42" s="2" customFormat="1" x14ac:dyDescent="0.25">
      <c r="A19"/>
      <c r="B19"/>
      <c r="C19"/>
      <c r="D19"/>
      <c r="E19"/>
      <c r="F19"/>
      <c r="G19" s="23" t="s">
        <v>23</v>
      </c>
      <c r="H19">
        <v>3030</v>
      </c>
      <c r="I19">
        <v>9090</v>
      </c>
      <c r="J19"/>
      <c r="K19" s="26" t="s">
        <v>14</v>
      </c>
      <c r="L19" s="27">
        <v>1297.5</v>
      </c>
      <c r="M19"/>
      <c r="N19" s="24" t="s">
        <v>20</v>
      </c>
      <c r="O19">
        <v>266.875</v>
      </c>
      <c r="P19"/>
      <c r="Q19"/>
      <c r="R19"/>
      <c r="S19"/>
      <c r="T19"/>
      <c r="U19"/>
      <c r="V19"/>
      <c r="W19"/>
      <c r="X19"/>
      <c r="Y19"/>
      <c r="Z19"/>
      <c r="AA19"/>
      <c r="AB19"/>
      <c r="AC19"/>
      <c r="AD19"/>
      <c r="AE19"/>
      <c r="AF19"/>
      <c r="AG19"/>
      <c r="AH19"/>
      <c r="AI19"/>
      <c r="AJ19"/>
      <c r="AK19"/>
      <c r="AL19"/>
      <c r="AM19"/>
      <c r="AN19"/>
      <c r="AO19"/>
      <c r="AP19"/>
    </row>
    <row r="20" spans="1:42" s="2" customFormat="1" x14ac:dyDescent="0.25">
      <c r="A20"/>
      <c r="B20"/>
      <c r="C20"/>
      <c r="D20"/>
      <c r="E20"/>
      <c r="F20"/>
      <c r="G20" s="23" t="s">
        <v>22</v>
      </c>
      <c r="H20">
        <v>12316.25</v>
      </c>
      <c r="I20">
        <v>36948.75</v>
      </c>
      <c r="J20"/>
      <c r="K20" s="24" t="s">
        <v>19</v>
      </c>
      <c r="L20">
        <v>625</v>
      </c>
      <c r="M20"/>
      <c r="N20" s="24" t="s">
        <v>24</v>
      </c>
      <c r="O20">
        <v>1726.25</v>
      </c>
      <c r="P20"/>
      <c r="Q20"/>
      <c r="R20"/>
      <c r="S20"/>
      <c r="T20"/>
      <c r="U20"/>
      <c r="V20"/>
      <c r="W20"/>
      <c r="X20"/>
      <c r="Y20"/>
      <c r="Z20"/>
      <c r="AA20"/>
      <c r="AB20"/>
      <c r="AC20"/>
      <c r="AD20"/>
      <c r="AE20"/>
      <c r="AF20"/>
      <c r="AG20"/>
      <c r="AH20"/>
      <c r="AI20"/>
      <c r="AJ20"/>
      <c r="AK20"/>
      <c r="AL20"/>
      <c r="AM20"/>
      <c r="AN20"/>
      <c r="AO20"/>
      <c r="AP20"/>
    </row>
    <row r="21" spans="1:42" s="2" customFormat="1" x14ac:dyDescent="0.25">
      <c r="A21"/>
      <c r="B21"/>
      <c r="C21"/>
      <c r="D21"/>
      <c r="E21"/>
      <c r="F21"/>
      <c r="G21" s="23" t="s">
        <v>0</v>
      </c>
      <c r="H21">
        <v>33416.25</v>
      </c>
      <c r="I21">
        <v>100248.75</v>
      </c>
      <c r="J21"/>
      <c r="K21" s="24" t="s">
        <v>18</v>
      </c>
      <c r="L21">
        <v>672.5</v>
      </c>
      <c r="M21"/>
      <c r="N21" s="30">
        <v>3</v>
      </c>
      <c r="O21">
        <v>7998.75</v>
      </c>
      <c r="P21"/>
      <c r="Q21"/>
      <c r="R21"/>
      <c r="S21"/>
      <c r="T21"/>
      <c r="U21"/>
      <c r="V21"/>
      <c r="W21"/>
      <c r="X21"/>
      <c r="Y21"/>
      <c r="Z21"/>
      <c r="AA21"/>
      <c r="AB21"/>
      <c r="AC21"/>
      <c r="AD21"/>
      <c r="AE21"/>
      <c r="AF21"/>
      <c r="AG21"/>
      <c r="AH21"/>
      <c r="AI21"/>
      <c r="AJ21"/>
      <c r="AK21"/>
      <c r="AL21"/>
      <c r="AM21"/>
      <c r="AN21"/>
      <c r="AO21"/>
      <c r="AP21"/>
    </row>
    <row r="22" spans="1:42" s="2" customFormat="1" x14ac:dyDescent="0.25">
      <c r="A22"/>
      <c r="B22"/>
      <c r="C22"/>
      <c r="D22"/>
      <c r="E22"/>
      <c r="F22"/>
      <c r="G22" s="23" t="s">
        <v>21</v>
      </c>
      <c r="H22">
        <v>800.625</v>
      </c>
      <c r="I22">
        <v>2401.875</v>
      </c>
      <c r="J22"/>
      <c r="K22" s="26" t="s">
        <v>15</v>
      </c>
      <c r="L22" s="27">
        <v>14622.5</v>
      </c>
      <c r="M22"/>
      <c r="N22" s="24" t="s">
        <v>23</v>
      </c>
      <c r="O22">
        <v>1010</v>
      </c>
      <c r="P22"/>
      <c r="Q22"/>
      <c r="R22"/>
      <c r="S22"/>
      <c r="T22"/>
      <c r="U22"/>
      <c r="V22"/>
      <c r="W22"/>
      <c r="X22"/>
      <c r="Y22"/>
      <c r="Z22"/>
      <c r="AA22"/>
      <c r="AB22"/>
      <c r="AC22"/>
      <c r="AD22"/>
      <c r="AE22"/>
      <c r="AF22"/>
      <c r="AG22"/>
      <c r="AH22"/>
      <c r="AI22"/>
      <c r="AJ22"/>
      <c r="AK22"/>
      <c r="AL22"/>
      <c r="AM22"/>
      <c r="AN22"/>
      <c r="AO22"/>
      <c r="AP22"/>
    </row>
    <row r="23" spans="1:42" s="2" customFormat="1" x14ac:dyDescent="0.25">
      <c r="A23"/>
      <c r="B23"/>
      <c r="C23"/>
      <c r="D23"/>
      <c r="E23"/>
      <c r="F23"/>
      <c r="G23" s="23" t="s">
        <v>25</v>
      </c>
      <c r="H23">
        <v>163125</v>
      </c>
      <c r="I23">
        <v>489375</v>
      </c>
      <c r="J23"/>
      <c r="K23" s="24" t="s">
        <v>19</v>
      </c>
      <c r="L23">
        <v>8837.5</v>
      </c>
      <c r="M23"/>
      <c r="N23" s="24" t="s">
        <v>22</v>
      </c>
      <c r="O23">
        <v>3088.75</v>
      </c>
      <c r="P23"/>
      <c r="Q23"/>
      <c r="R23"/>
      <c r="S23"/>
      <c r="T23"/>
      <c r="U23"/>
      <c r="V23"/>
      <c r="W23"/>
      <c r="X23"/>
      <c r="Y23"/>
      <c r="Z23"/>
      <c r="AA23"/>
      <c r="AB23"/>
      <c r="AC23"/>
      <c r="AD23"/>
      <c r="AE23"/>
      <c r="AF23"/>
      <c r="AG23"/>
      <c r="AH23"/>
      <c r="AI23"/>
      <c r="AJ23"/>
      <c r="AK23"/>
      <c r="AL23"/>
      <c r="AM23"/>
      <c r="AN23"/>
      <c r="AO23"/>
      <c r="AP23"/>
    </row>
    <row r="24" spans="1:42" s="2" customFormat="1" x14ac:dyDescent="0.25">
      <c r="A24"/>
      <c r="B24"/>
      <c r="C24"/>
      <c r="D24"/>
      <c r="E24"/>
      <c r="F24"/>
      <c r="G24" s="23" t="s">
        <v>20</v>
      </c>
      <c r="H24">
        <v>1108.125</v>
      </c>
      <c r="I24">
        <v>3324.375</v>
      </c>
      <c r="J24"/>
      <c r="K24" s="24" t="s">
        <v>18</v>
      </c>
      <c r="L24">
        <v>5785</v>
      </c>
      <c r="M24"/>
      <c r="N24" s="24" t="s">
        <v>0</v>
      </c>
      <c r="O24">
        <v>3263.75</v>
      </c>
      <c r="P24"/>
      <c r="Q24"/>
      <c r="R24"/>
      <c r="S24"/>
      <c r="T24"/>
      <c r="U24"/>
      <c r="V24"/>
      <c r="W24"/>
      <c r="X24"/>
      <c r="Y24"/>
      <c r="Z24"/>
      <c r="AA24"/>
      <c r="AB24"/>
      <c r="AC24"/>
      <c r="AD24"/>
      <c r="AE24"/>
      <c r="AF24"/>
      <c r="AG24"/>
      <c r="AH24"/>
      <c r="AI24"/>
      <c r="AJ24"/>
      <c r="AK24"/>
      <c r="AL24"/>
      <c r="AM24"/>
      <c r="AN24"/>
      <c r="AO24"/>
      <c r="AP24"/>
    </row>
    <row r="25" spans="1:42" s="2" customFormat="1" x14ac:dyDescent="0.25">
      <c r="A25"/>
      <c r="B25"/>
      <c r="C25"/>
      <c r="D25"/>
      <c r="E25"/>
      <c r="F25"/>
      <c r="G25" s="23" t="s">
        <v>24</v>
      </c>
      <c r="H25">
        <v>5178.75</v>
      </c>
      <c r="I25">
        <v>15536.25</v>
      </c>
      <c r="J25"/>
      <c r="K25" s="26" t="s">
        <v>16</v>
      </c>
      <c r="L25" s="27">
        <v>13980</v>
      </c>
      <c r="M25"/>
      <c r="N25" s="24" t="s">
        <v>21</v>
      </c>
      <c r="O25">
        <v>266.875</v>
      </c>
      <c r="P25"/>
      <c r="Q25"/>
      <c r="R25"/>
      <c r="S25"/>
      <c r="T25"/>
      <c r="U25"/>
      <c r="V25"/>
      <c r="W25"/>
      <c r="X25"/>
      <c r="Y25"/>
      <c r="Z25"/>
      <c r="AA25"/>
      <c r="AB25"/>
      <c r="AC25"/>
      <c r="AD25"/>
      <c r="AE25"/>
      <c r="AF25"/>
      <c r="AG25"/>
      <c r="AH25"/>
      <c r="AI25"/>
      <c r="AJ25"/>
      <c r="AK25"/>
      <c r="AL25"/>
      <c r="AM25"/>
      <c r="AN25"/>
      <c r="AO25"/>
      <c r="AP25"/>
    </row>
    <row r="26" spans="1:42" s="2" customFormat="1" x14ac:dyDescent="0.25">
      <c r="A26"/>
      <c r="B26"/>
      <c r="C26"/>
      <c r="D26"/>
      <c r="E26"/>
      <c r="F26"/>
      <c r="G26" s="23" t="s">
        <v>41</v>
      </c>
      <c r="H26">
        <v>218975</v>
      </c>
      <c r="I26">
        <v>656925</v>
      </c>
      <c r="J26"/>
      <c r="K26" s="24" t="s">
        <v>19</v>
      </c>
      <c r="L26">
        <v>9200</v>
      </c>
      <c r="M26"/>
      <c r="N26" s="24" t="s">
        <v>20</v>
      </c>
      <c r="O26">
        <v>369.375</v>
      </c>
      <c r="P26"/>
      <c r="Q26"/>
      <c r="R26"/>
      <c r="S26"/>
      <c r="T26"/>
      <c r="U26"/>
      <c r="V26"/>
      <c r="W26"/>
      <c r="X26"/>
      <c r="Y26"/>
      <c r="Z26"/>
      <c r="AA26"/>
      <c r="AB26"/>
      <c r="AC26"/>
      <c r="AD26"/>
      <c r="AE26"/>
      <c r="AF26"/>
      <c r="AG26"/>
      <c r="AH26"/>
      <c r="AI26"/>
      <c r="AJ26"/>
      <c r="AK26"/>
      <c r="AL26"/>
      <c r="AM26"/>
      <c r="AN26"/>
      <c r="AO26"/>
      <c r="AP26"/>
    </row>
    <row r="27" spans="1:42" s="2" customFormat="1" x14ac:dyDescent="0.25">
      <c r="A27"/>
      <c r="B27"/>
      <c r="C27"/>
      <c r="D27"/>
      <c r="E27"/>
      <c r="F27"/>
      <c r="G27"/>
      <c r="H27"/>
      <c r="I27"/>
      <c r="J27"/>
      <c r="K27" s="24" t="s">
        <v>18</v>
      </c>
      <c r="L27">
        <v>4780</v>
      </c>
      <c r="M27"/>
      <c r="N27" s="30">
        <v>4</v>
      </c>
      <c r="O27">
        <v>71232.5</v>
      </c>
      <c r="P27"/>
      <c r="Q27"/>
      <c r="R27"/>
      <c r="S27"/>
      <c r="T27"/>
      <c r="U27"/>
      <c r="V27"/>
      <c r="W27"/>
      <c r="X27"/>
      <c r="Y27"/>
      <c r="Z27"/>
      <c r="AA27"/>
      <c r="AB27"/>
      <c r="AC27"/>
      <c r="AD27"/>
      <c r="AE27"/>
      <c r="AF27"/>
      <c r="AG27"/>
      <c r="AH27"/>
      <c r="AI27"/>
      <c r="AJ27"/>
      <c r="AK27"/>
      <c r="AL27"/>
      <c r="AM27"/>
      <c r="AN27"/>
      <c r="AO27"/>
      <c r="AP27"/>
    </row>
    <row r="28" spans="1:42" s="2" customFormat="1" x14ac:dyDescent="0.25">
      <c r="A28"/>
      <c r="B28"/>
      <c r="C28"/>
      <c r="D28"/>
      <c r="E28"/>
      <c r="F28"/>
      <c r="G28" s="22" t="s">
        <v>40</v>
      </c>
      <c r="H28" t="s">
        <v>31</v>
      </c>
      <c r="I28"/>
      <c r="J28"/>
      <c r="K28" s="28" t="s">
        <v>41</v>
      </c>
      <c r="L28" s="29">
        <v>29900</v>
      </c>
      <c r="M28"/>
      <c r="N28" s="24" t="s">
        <v>22</v>
      </c>
      <c r="O28">
        <v>1525</v>
      </c>
      <c r="P28"/>
      <c r="Q28"/>
      <c r="R28"/>
      <c r="S28"/>
      <c r="T28"/>
      <c r="U28"/>
      <c r="V28"/>
      <c r="W28"/>
      <c r="X28"/>
      <c r="Y28"/>
      <c r="Z28"/>
      <c r="AA28"/>
      <c r="AB28"/>
      <c r="AC28"/>
      <c r="AD28"/>
      <c r="AE28"/>
      <c r="AF28"/>
      <c r="AG28"/>
      <c r="AH28"/>
      <c r="AI28"/>
      <c r="AJ28"/>
      <c r="AK28"/>
      <c r="AL28"/>
      <c r="AM28"/>
      <c r="AN28"/>
      <c r="AO28"/>
      <c r="AP28"/>
    </row>
    <row r="29" spans="1:42" s="2" customFormat="1" x14ac:dyDescent="0.25">
      <c r="A29"/>
      <c r="B29"/>
      <c r="C29"/>
      <c r="D29"/>
      <c r="E29"/>
      <c r="F29"/>
      <c r="G29" s="23" t="s">
        <v>14</v>
      </c>
      <c r="H29">
        <v>72547.5</v>
      </c>
      <c r="I29"/>
      <c r="J29"/>
      <c r="K29"/>
      <c r="L29"/>
      <c r="M29"/>
      <c r="N29" s="24" t="s">
        <v>0</v>
      </c>
      <c r="O29">
        <v>13606.25</v>
      </c>
      <c r="P29"/>
      <c r="Q29"/>
      <c r="R29"/>
      <c r="S29"/>
      <c r="T29"/>
      <c r="U29"/>
      <c r="V29"/>
      <c r="W29"/>
      <c r="X29"/>
      <c r="Y29"/>
      <c r="Z29"/>
      <c r="AA29"/>
      <c r="AB29"/>
      <c r="AC29"/>
      <c r="AD29"/>
      <c r="AE29"/>
      <c r="AF29"/>
      <c r="AG29"/>
      <c r="AH29"/>
      <c r="AI29"/>
      <c r="AJ29"/>
      <c r="AK29"/>
      <c r="AL29"/>
      <c r="AM29"/>
      <c r="AN29"/>
      <c r="AO29"/>
      <c r="AP29"/>
    </row>
    <row r="30" spans="1:42" s="2" customFormat="1" x14ac:dyDescent="0.25">
      <c r="A30"/>
      <c r="B30"/>
      <c r="C30"/>
      <c r="D30"/>
      <c r="E30"/>
      <c r="F30"/>
      <c r="G30" s="23" t="s">
        <v>15</v>
      </c>
      <c r="H30">
        <v>497772.5</v>
      </c>
      <c r="I30"/>
      <c r="J30"/>
      <c r="K30"/>
      <c r="L30"/>
      <c r="M30"/>
      <c r="N30" s="24" t="s">
        <v>25</v>
      </c>
      <c r="O30">
        <v>54375</v>
      </c>
      <c r="P30"/>
      <c r="Q30"/>
      <c r="R30"/>
      <c r="S30"/>
      <c r="T30"/>
      <c r="U30"/>
      <c r="V30"/>
      <c r="W30"/>
      <c r="X30"/>
      <c r="Y30"/>
      <c r="Z30"/>
      <c r="AA30"/>
      <c r="AB30"/>
      <c r="AC30"/>
      <c r="AD30"/>
      <c r="AE30"/>
      <c r="AF30"/>
      <c r="AG30"/>
      <c r="AH30"/>
      <c r="AI30"/>
      <c r="AJ30"/>
      <c r="AK30"/>
      <c r="AL30"/>
      <c r="AM30"/>
      <c r="AN30"/>
      <c r="AO30"/>
      <c r="AP30"/>
    </row>
    <row r="31" spans="1:42" s="2" customFormat="1" x14ac:dyDescent="0.25">
      <c r="A31"/>
      <c r="B31"/>
      <c r="C31"/>
      <c r="D31"/>
      <c r="E31"/>
      <c r="F31"/>
      <c r="G31" s="23" t="s">
        <v>16</v>
      </c>
      <c r="H31">
        <v>305580</v>
      </c>
      <c r="I31"/>
      <c r="J31"/>
      <c r="K31"/>
      <c r="L31"/>
      <c r="M31"/>
      <c r="N31" s="24" t="s">
        <v>24</v>
      </c>
      <c r="O31">
        <v>1726.25</v>
      </c>
      <c r="P31"/>
      <c r="Q31"/>
      <c r="R31"/>
      <c r="S31"/>
      <c r="T31"/>
      <c r="U31"/>
      <c r="V31"/>
      <c r="W31"/>
      <c r="X31"/>
      <c r="Y31"/>
      <c r="Z31"/>
      <c r="AA31"/>
      <c r="AB31"/>
      <c r="AC31"/>
      <c r="AD31"/>
      <c r="AE31"/>
      <c r="AF31"/>
      <c r="AG31"/>
      <c r="AH31"/>
      <c r="AI31"/>
      <c r="AJ31"/>
      <c r="AK31"/>
      <c r="AL31"/>
      <c r="AM31"/>
      <c r="AN31"/>
      <c r="AO31"/>
      <c r="AP31"/>
    </row>
    <row r="32" spans="1:42" s="2" customFormat="1" x14ac:dyDescent="0.25">
      <c r="A32"/>
      <c r="B32"/>
      <c r="C32"/>
      <c r="D32"/>
      <c r="E32"/>
      <c r="F32"/>
      <c r="G32" s="23" t="s">
        <v>41</v>
      </c>
      <c r="H32">
        <v>875900</v>
      </c>
      <c r="I32"/>
      <c r="J32"/>
      <c r="K32"/>
      <c r="L32"/>
      <c r="M32"/>
      <c r="N32" s="30">
        <v>5</v>
      </c>
      <c r="O32">
        <v>6205</v>
      </c>
      <c r="P32"/>
      <c r="Q32"/>
      <c r="R32"/>
      <c r="S32"/>
      <c r="T32"/>
      <c r="U32"/>
      <c r="V32"/>
      <c r="W32"/>
      <c r="X32"/>
      <c r="Y32"/>
      <c r="Z32"/>
      <c r="AA32"/>
      <c r="AB32"/>
      <c r="AC32"/>
      <c r="AD32"/>
      <c r="AE32"/>
      <c r="AF32"/>
      <c r="AG32"/>
      <c r="AH32"/>
      <c r="AI32"/>
      <c r="AJ32"/>
      <c r="AK32"/>
      <c r="AL32"/>
      <c r="AM32"/>
      <c r="AN32"/>
      <c r="AO32"/>
      <c r="AP32"/>
    </row>
    <row r="33" spans="1:42" s="2" customFormat="1" x14ac:dyDescent="0.25">
      <c r="A33"/>
      <c r="B33"/>
      <c r="C33"/>
      <c r="D33"/>
      <c r="E33"/>
      <c r="F33"/>
      <c r="G33"/>
      <c r="H33"/>
      <c r="I33"/>
      <c r="J33"/>
      <c r="K33"/>
      <c r="L33"/>
      <c r="M33"/>
      <c r="N33" s="24" t="s">
        <v>23</v>
      </c>
      <c r="O33">
        <v>1010</v>
      </c>
      <c r="P33"/>
      <c r="Q33"/>
      <c r="R33"/>
      <c r="S33"/>
      <c r="T33"/>
      <c r="U33"/>
      <c r="V33"/>
      <c r="W33"/>
      <c r="X33"/>
      <c r="Y33"/>
      <c r="Z33"/>
      <c r="AA33"/>
      <c r="AB33"/>
      <c r="AC33"/>
      <c r="AD33"/>
      <c r="AE33"/>
      <c r="AF33"/>
      <c r="AG33"/>
      <c r="AH33"/>
      <c r="AI33"/>
      <c r="AJ33"/>
      <c r="AK33"/>
      <c r="AL33"/>
      <c r="AM33"/>
      <c r="AN33"/>
      <c r="AO33"/>
      <c r="AP33"/>
    </row>
    <row r="34" spans="1:42" s="2" customFormat="1" x14ac:dyDescent="0.25">
      <c r="A34"/>
      <c r="B34"/>
      <c r="C34"/>
      <c r="D34"/>
      <c r="E34"/>
      <c r="F34"/>
      <c r="G34" s="22" t="s">
        <v>40</v>
      </c>
      <c r="H34" t="s">
        <v>32</v>
      </c>
      <c r="I34"/>
      <c r="J34"/>
      <c r="K34"/>
      <c r="L34"/>
      <c r="M34"/>
      <c r="N34" s="24" t="s">
        <v>22</v>
      </c>
      <c r="O34">
        <v>3088.75</v>
      </c>
      <c r="P34"/>
      <c r="Q34"/>
      <c r="R34"/>
      <c r="S34"/>
      <c r="T34"/>
      <c r="U34"/>
      <c r="V34"/>
      <c r="W34"/>
      <c r="X34"/>
      <c r="Y34"/>
      <c r="Z34"/>
      <c r="AA34"/>
      <c r="AB34"/>
      <c r="AC34"/>
      <c r="AD34"/>
      <c r="AE34"/>
      <c r="AF34"/>
      <c r="AG34"/>
      <c r="AH34"/>
      <c r="AI34"/>
      <c r="AJ34"/>
      <c r="AK34"/>
      <c r="AL34"/>
      <c r="AM34"/>
      <c r="AN34"/>
      <c r="AO34"/>
      <c r="AP34"/>
    </row>
    <row r="35" spans="1:42" s="2" customFormat="1" x14ac:dyDescent="0.25">
      <c r="A35"/>
      <c r="B35"/>
      <c r="C35"/>
      <c r="D35"/>
      <c r="E35"/>
      <c r="F35"/>
      <c r="G35" s="23" t="s">
        <v>23</v>
      </c>
      <c r="H35">
        <v>9090</v>
      </c>
      <c r="I35"/>
      <c r="J35"/>
      <c r="K35"/>
      <c r="L35"/>
      <c r="M35"/>
      <c r="N35" s="24" t="s">
        <v>0</v>
      </c>
      <c r="O35">
        <v>1470</v>
      </c>
      <c r="P35"/>
      <c r="Q35"/>
      <c r="R35"/>
      <c r="S35"/>
      <c r="T35"/>
      <c r="U35"/>
      <c r="V35"/>
      <c r="W35"/>
      <c r="X35"/>
      <c r="Y35"/>
      <c r="Z35"/>
      <c r="AA35"/>
      <c r="AB35"/>
      <c r="AC35"/>
      <c r="AD35"/>
      <c r="AE35"/>
      <c r="AF35"/>
      <c r="AG35"/>
      <c r="AH35"/>
      <c r="AI35"/>
      <c r="AJ35"/>
      <c r="AK35"/>
      <c r="AL35"/>
      <c r="AM35"/>
      <c r="AN35"/>
      <c r="AO35"/>
      <c r="AP35"/>
    </row>
    <row r="36" spans="1:42" s="2" customFormat="1" x14ac:dyDescent="0.25">
      <c r="A36"/>
      <c r="B36"/>
      <c r="C36"/>
      <c r="D36"/>
      <c r="E36"/>
      <c r="F36"/>
      <c r="G36" s="24" t="s">
        <v>19</v>
      </c>
      <c r="H36">
        <v>3030</v>
      </c>
      <c r="I36"/>
      <c r="J36"/>
      <c r="K36"/>
      <c r="L36"/>
      <c r="M36"/>
      <c r="N36" s="24" t="s">
        <v>21</v>
      </c>
      <c r="O36">
        <v>266.875</v>
      </c>
      <c r="P36"/>
      <c r="Q36"/>
      <c r="R36"/>
      <c r="S36"/>
      <c r="T36"/>
      <c r="U36"/>
      <c r="V36"/>
      <c r="W36"/>
      <c r="X36"/>
      <c r="Y36"/>
      <c r="Z36"/>
      <c r="AA36"/>
      <c r="AB36"/>
      <c r="AC36"/>
      <c r="AD36"/>
      <c r="AE36"/>
      <c r="AF36"/>
      <c r="AG36"/>
      <c r="AH36"/>
      <c r="AI36"/>
      <c r="AJ36"/>
      <c r="AK36"/>
      <c r="AL36"/>
      <c r="AM36"/>
      <c r="AN36"/>
      <c r="AO36"/>
      <c r="AP36"/>
    </row>
    <row r="37" spans="1:42" s="2" customFormat="1" x14ac:dyDescent="0.25">
      <c r="A37"/>
      <c r="B37"/>
      <c r="C37"/>
      <c r="D37"/>
      <c r="E37"/>
      <c r="F37"/>
      <c r="G37" s="24" t="s">
        <v>18</v>
      </c>
      <c r="H37">
        <v>6060</v>
      </c>
      <c r="I37"/>
      <c r="J37"/>
      <c r="K37"/>
      <c r="L37"/>
      <c r="M37"/>
      <c r="N37" s="24" t="s">
        <v>20</v>
      </c>
      <c r="O37">
        <v>369.375</v>
      </c>
      <c r="P37"/>
      <c r="Q37"/>
      <c r="R37"/>
      <c r="S37"/>
      <c r="T37"/>
      <c r="U37"/>
      <c r="V37"/>
      <c r="W37"/>
      <c r="X37"/>
      <c r="Y37"/>
      <c r="Z37"/>
      <c r="AA37"/>
      <c r="AB37"/>
      <c r="AC37"/>
      <c r="AD37"/>
      <c r="AE37"/>
      <c r="AF37"/>
      <c r="AG37"/>
      <c r="AH37"/>
      <c r="AI37"/>
      <c r="AJ37"/>
      <c r="AK37"/>
      <c r="AL37"/>
      <c r="AM37"/>
      <c r="AN37"/>
      <c r="AO37"/>
      <c r="AP37"/>
    </row>
    <row r="38" spans="1:42" s="2" customFormat="1" x14ac:dyDescent="0.25">
      <c r="A38"/>
      <c r="B38"/>
      <c r="C38"/>
      <c r="D38"/>
      <c r="E38"/>
      <c r="F38"/>
      <c r="G38" s="23" t="s">
        <v>22</v>
      </c>
      <c r="H38">
        <v>36948.75</v>
      </c>
      <c r="I38"/>
      <c r="J38"/>
      <c r="K38"/>
      <c r="L38"/>
      <c r="M38"/>
      <c r="N38" s="30">
        <v>6</v>
      </c>
      <c r="O38">
        <v>56101.25</v>
      </c>
      <c r="P38"/>
      <c r="Q38"/>
      <c r="R38"/>
      <c r="S38"/>
      <c r="T38"/>
      <c r="U38"/>
      <c r="V38"/>
      <c r="W38"/>
      <c r="X38"/>
      <c r="Y38"/>
      <c r="Z38"/>
      <c r="AA38"/>
      <c r="AB38"/>
      <c r="AC38"/>
      <c r="AD38"/>
      <c r="AE38"/>
      <c r="AF38"/>
      <c r="AG38"/>
      <c r="AH38"/>
      <c r="AI38"/>
      <c r="AJ38"/>
      <c r="AK38"/>
      <c r="AL38"/>
      <c r="AM38"/>
      <c r="AN38"/>
      <c r="AO38"/>
      <c r="AP38"/>
    </row>
    <row r="39" spans="1:42" s="2" customFormat="1" x14ac:dyDescent="0.25">
      <c r="A39"/>
      <c r="B39"/>
      <c r="C39"/>
      <c r="D39"/>
      <c r="E39"/>
      <c r="F39"/>
      <c r="G39" s="24" t="s">
        <v>19</v>
      </c>
      <c r="H39">
        <v>17272.5</v>
      </c>
      <c r="I39"/>
      <c r="J39"/>
      <c r="K39"/>
      <c r="L39"/>
      <c r="M39"/>
      <c r="N39" s="24" t="s">
        <v>25</v>
      </c>
      <c r="O39">
        <v>54375</v>
      </c>
      <c r="P39"/>
      <c r="Q39"/>
      <c r="R39"/>
      <c r="S39"/>
      <c r="T39"/>
      <c r="U39"/>
      <c r="V39"/>
      <c r="W39"/>
      <c r="X39"/>
      <c r="Y39"/>
      <c r="Z39"/>
      <c r="AA39"/>
      <c r="AB39"/>
      <c r="AC39"/>
      <c r="AD39"/>
      <c r="AE39"/>
      <c r="AF39"/>
      <c r="AG39"/>
      <c r="AH39"/>
      <c r="AI39"/>
      <c r="AJ39"/>
      <c r="AK39"/>
      <c r="AL39"/>
      <c r="AM39"/>
      <c r="AN39"/>
      <c r="AO39"/>
      <c r="AP39"/>
    </row>
    <row r="40" spans="1:42" s="2" customFormat="1" x14ac:dyDescent="0.25">
      <c r="A40"/>
      <c r="B40"/>
      <c r="C40"/>
      <c r="D40"/>
      <c r="E40"/>
      <c r="F40"/>
      <c r="G40" s="24" t="s">
        <v>18</v>
      </c>
      <c r="H40">
        <v>19676.25</v>
      </c>
      <c r="I40"/>
      <c r="J40"/>
      <c r="K40"/>
      <c r="L40"/>
      <c r="M40"/>
      <c r="N40" s="24" t="s">
        <v>24</v>
      </c>
      <c r="O40">
        <v>1726.25</v>
      </c>
      <c r="P40"/>
      <c r="Q40"/>
      <c r="R40"/>
      <c r="S40"/>
      <c r="T40"/>
      <c r="U40"/>
      <c r="V40"/>
      <c r="W40"/>
      <c r="X40"/>
      <c r="Y40"/>
      <c r="Z40"/>
      <c r="AA40"/>
      <c r="AB40"/>
      <c r="AC40"/>
      <c r="AD40"/>
      <c r="AE40"/>
      <c r="AF40"/>
      <c r="AG40"/>
      <c r="AH40"/>
      <c r="AI40"/>
      <c r="AJ40"/>
      <c r="AK40"/>
      <c r="AL40"/>
      <c r="AM40"/>
      <c r="AN40"/>
      <c r="AO40"/>
      <c r="AP40"/>
    </row>
    <row r="41" spans="1:42" s="2" customFormat="1" x14ac:dyDescent="0.25">
      <c r="A41"/>
      <c r="B41"/>
      <c r="C41"/>
      <c r="D41"/>
      <c r="E41"/>
      <c r="F41"/>
      <c r="G41" s="23" t="s">
        <v>0</v>
      </c>
      <c r="H41">
        <v>100248.75</v>
      </c>
      <c r="I41"/>
      <c r="J41"/>
      <c r="K41"/>
      <c r="L41"/>
      <c r="M41"/>
      <c r="N41" s="30" t="s">
        <v>41</v>
      </c>
      <c r="O41">
        <v>218975</v>
      </c>
      <c r="P41"/>
      <c r="Q41"/>
      <c r="R41"/>
      <c r="S41"/>
      <c r="T41"/>
      <c r="U41"/>
      <c r="V41"/>
      <c r="W41"/>
      <c r="X41"/>
      <c r="Y41"/>
      <c r="Z41"/>
      <c r="AA41"/>
      <c r="AB41"/>
      <c r="AC41"/>
      <c r="AD41"/>
      <c r="AE41"/>
      <c r="AF41"/>
      <c r="AG41"/>
      <c r="AH41"/>
      <c r="AI41"/>
      <c r="AJ41"/>
      <c r="AK41"/>
      <c r="AL41"/>
      <c r="AM41"/>
      <c r="AN41"/>
      <c r="AO41"/>
      <c r="AP41"/>
    </row>
    <row r="42" spans="1:42" s="2" customFormat="1" x14ac:dyDescent="0.25">
      <c r="A42"/>
      <c r="B42"/>
      <c r="C42"/>
      <c r="D42"/>
      <c r="E42"/>
      <c r="F42"/>
      <c r="G42" s="24" t="s">
        <v>19</v>
      </c>
      <c r="H42">
        <v>49638.75</v>
      </c>
      <c r="I42"/>
      <c r="J42"/>
      <c r="K42"/>
      <c r="L42"/>
      <c r="M42"/>
      <c r="N42"/>
      <c r="O42"/>
      <c r="P42"/>
      <c r="Q42"/>
      <c r="R42"/>
      <c r="S42"/>
      <c r="T42"/>
      <c r="U42"/>
      <c r="V42"/>
      <c r="W42"/>
      <c r="X42"/>
      <c r="Y42"/>
      <c r="Z42"/>
      <c r="AA42"/>
      <c r="AB42"/>
      <c r="AC42"/>
      <c r="AD42"/>
      <c r="AE42"/>
      <c r="AF42"/>
      <c r="AG42"/>
      <c r="AH42"/>
      <c r="AI42"/>
      <c r="AJ42"/>
      <c r="AK42"/>
      <c r="AL42"/>
      <c r="AM42"/>
      <c r="AN42"/>
      <c r="AO42"/>
      <c r="AP42"/>
    </row>
    <row r="43" spans="1:42" s="2" customFormat="1" x14ac:dyDescent="0.25">
      <c r="A43"/>
      <c r="B43"/>
      <c r="C43"/>
      <c r="D43"/>
      <c r="E43"/>
      <c r="F43"/>
      <c r="G43" s="24" t="s">
        <v>18</v>
      </c>
      <c r="H43">
        <v>50610</v>
      </c>
      <c r="I43"/>
      <c r="J43"/>
      <c r="K43"/>
      <c r="L43"/>
      <c r="M43"/>
      <c r="N43"/>
      <c r="O43"/>
      <c r="P43"/>
      <c r="Q43"/>
      <c r="R43"/>
      <c r="S43"/>
      <c r="T43"/>
      <c r="U43"/>
      <c r="V43"/>
      <c r="W43"/>
      <c r="X43"/>
      <c r="Y43"/>
      <c r="Z43"/>
      <c r="AA43"/>
      <c r="AB43"/>
      <c r="AC43"/>
      <c r="AD43"/>
      <c r="AE43"/>
      <c r="AF43"/>
      <c r="AG43"/>
      <c r="AH43"/>
      <c r="AI43"/>
      <c r="AJ43"/>
      <c r="AK43"/>
      <c r="AL43"/>
      <c r="AM43"/>
      <c r="AN43"/>
      <c r="AO43"/>
      <c r="AP43"/>
    </row>
    <row r="44" spans="1:42" s="2" customFormat="1" x14ac:dyDescent="0.25">
      <c r="A44"/>
      <c r="B44"/>
      <c r="C44"/>
      <c r="D44"/>
      <c r="E44"/>
      <c r="F44"/>
      <c r="G44" s="23" t="s">
        <v>21</v>
      </c>
      <c r="H44">
        <v>2401.875</v>
      </c>
      <c r="I44"/>
      <c r="J44"/>
      <c r="K44"/>
      <c r="L44"/>
      <c r="M44"/>
      <c r="N44"/>
      <c r="O44"/>
      <c r="P44"/>
      <c r="Q44"/>
      <c r="R44"/>
      <c r="S44"/>
      <c r="T44"/>
      <c r="U44"/>
      <c r="V44"/>
      <c r="W44"/>
      <c r="X44"/>
      <c r="Y44"/>
      <c r="Z44"/>
      <c r="AA44"/>
      <c r="AB44"/>
      <c r="AC44"/>
      <c r="AD44"/>
      <c r="AE44"/>
      <c r="AF44"/>
      <c r="AG44"/>
      <c r="AH44"/>
      <c r="AI44"/>
      <c r="AJ44"/>
      <c r="AK44"/>
      <c r="AL44"/>
      <c r="AM44"/>
      <c r="AN44"/>
      <c r="AO44"/>
      <c r="AP44"/>
    </row>
    <row r="45" spans="1:42" s="2" customFormat="1" x14ac:dyDescent="0.25">
      <c r="A45"/>
      <c r="B45"/>
      <c r="C45"/>
      <c r="D45"/>
      <c r="E45"/>
      <c r="F45"/>
      <c r="G45" s="24" t="s">
        <v>19</v>
      </c>
      <c r="H45">
        <v>1601.25</v>
      </c>
      <c r="I45"/>
      <c r="J45"/>
      <c r="K45"/>
      <c r="L45"/>
      <c r="M45"/>
      <c r="N45"/>
      <c r="O45"/>
      <c r="P45"/>
      <c r="Q45"/>
      <c r="R45"/>
      <c r="S45"/>
      <c r="T45"/>
      <c r="U45"/>
      <c r="V45"/>
      <c r="W45"/>
      <c r="X45"/>
      <c r="Y45"/>
      <c r="Z45"/>
      <c r="AA45"/>
      <c r="AB45"/>
      <c r="AC45"/>
      <c r="AD45"/>
      <c r="AE45"/>
      <c r="AF45"/>
      <c r="AG45"/>
      <c r="AH45"/>
      <c r="AI45"/>
      <c r="AJ45"/>
      <c r="AK45"/>
      <c r="AL45"/>
      <c r="AM45"/>
      <c r="AN45"/>
      <c r="AO45"/>
      <c r="AP45"/>
    </row>
    <row r="46" spans="1:42" s="2" customFormat="1" x14ac:dyDescent="0.25">
      <c r="A46"/>
      <c r="B46"/>
      <c r="C46"/>
      <c r="D46"/>
      <c r="E46"/>
      <c r="F46"/>
      <c r="G46" s="24" t="s">
        <v>18</v>
      </c>
      <c r="H46">
        <v>800.625</v>
      </c>
      <c r="I46"/>
      <c r="J46"/>
      <c r="K46"/>
      <c r="L46"/>
      <c r="M46"/>
      <c r="N46"/>
      <c r="O46"/>
      <c r="P46"/>
      <c r="Q46"/>
      <c r="R46"/>
      <c r="S46"/>
      <c r="T46"/>
      <c r="U46"/>
      <c r="V46"/>
      <c r="W46"/>
      <c r="X46"/>
      <c r="Y46"/>
      <c r="Z46"/>
      <c r="AA46"/>
      <c r="AB46"/>
      <c r="AC46"/>
      <c r="AD46"/>
      <c r="AE46"/>
      <c r="AF46"/>
      <c r="AG46"/>
      <c r="AH46"/>
      <c r="AI46"/>
      <c r="AJ46"/>
      <c r="AK46"/>
      <c r="AL46"/>
      <c r="AM46"/>
      <c r="AN46"/>
      <c r="AO46"/>
      <c r="AP46"/>
    </row>
    <row r="47" spans="1:42" s="2" customFormat="1" x14ac:dyDescent="0.25">
      <c r="A47"/>
      <c r="B47"/>
      <c r="C47"/>
      <c r="D47"/>
      <c r="E47"/>
      <c r="F47"/>
      <c r="G47" s="23" t="s">
        <v>25</v>
      </c>
      <c r="H47">
        <v>489375</v>
      </c>
      <c r="I47"/>
      <c r="J47"/>
      <c r="K47"/>
      <c r="L47"/>
      <c r="M47"/>
      <c r="N47"/>
      <c r="O47"/>
      <c r="P47"/>
      <c r="Q47"/>
      <c r="R47"/>
      <c r="S47"/>
      <c r="T47"/>
      <c r="U47"/>
      <c r="V47"/>
      <c r="W47"/>
      <c r="X47"/>
      <c r="Y47"/>
      <c r="Z47"/>
      <c r="AA47"/>
      <c r="AB47"/>
      <c r="AC47"/>
      <c r="AD47"/>
      <c r="AE47"/>
      <c r="AF47"/>
      <c r="AG47"/>
      <c r="AH47"/>
      <c r="AI47"/>
      <c r="AJ47"/>
      <c r="AK47"/>
      <c r="AL47"/>
      <c r="AM47"/>
      <c r="AN47"/>
      <c r="AO47"/>
      <c r="AP47"/>
    </row>
    <row r="48" spans="1:42" s="2" customFormat="1" x14ac:dyDescent="0.25">
      <c r="A48"/>
      <c r="B48"/>
      <c r="C48"/>
      <c r="D48"/>
      <c r="E48"/>
      <c r="F48"/>
      <c r="G48" s="24" t="s">
        <v>19</v>
      </c>
      <c r="H48">
        <v>326250</v>
      </c>
      <c r="I48"/>
      <c r="J48"/>
      <c r="K48"/>
      <c r="L48"/>
      <c r="M48"/>
      <c r="N48"/>
      <c r="O48"/>
      <c r="P48"/>
      <c r="Q48"/>
      <c r="R48"/>
      <c r="S48"/>
      <c r="T48"/>
      <c r="U48"/>
      <c r="V48"/>
      <c r="W48"/>
      <c r="X48"/>
      <c r="Y48"/>
      <c r="Z48"/>
      <c r="AA48"/>
      <c r="AB48"/>
      <c r="AC48"/>
      <c r="AD48"/>
      <c r="AE48"/>
      <c r="AF48"/>
      <c r="AG48"/>
      <c r="AH48"/>
      <c r="AI48"/>
      <c r="AJ48"/>
      <c r="AK48"/>
      <c r="AL48"/>
      <c r="AM48"/>
      <c r="AN48"/>
      <c r="AO48"/>
      <c r="AP48"/>
    </row>
    <row r="49" spans="1:42" s="2" customFormat="1" x14ac:dyDescent="0.25">
      <c r="A49"/>
      <c r="B49"/>
      <c r="C49"/>
      <c r="D49"/>
      <c r="E49"/>
      <c r="F49"/>
      <c r="G49" s="24" t="s">
        <v>18</v>
      </c>
      <c r="H49">
        <v>163125</v>
      </c>
      <c r="I49"/>
      <c r="J49"/>
      <c r="K49"/>
      <c r="L49"/>
      <c r="M49"/>
      <c r="N49"/>
      <c r="O49"/>
      <c r="P49"/>
      <c r="Q49"/>
      <c r="R49"/>
      <c r="S49"/>
      <c r="T49"/>
      <c r="U49"/>
      <c r="V49"/>
      <c r="W49"/>
      <c r="X49"/>
      <c r="Y49"/>
      <c r="Z49"/>
      <c r="AA49"/>
      <c r="AB49"/>
      <c r="AC49"/>
      <c r="AD49"/>
      <c r="AE49"/>
      <c r="AF49"/>
      <c r="AG49"/>
      <c r="AH49"/>
      <c r="AI49"/>
      <c r="AJ49"/>
      <c r="AK49"/>
      <c r="AL49"/>
      <c r="AM49"/>
      <c r="AN49"/>
      <c r="AO49"/>
      <c r="AP49"/>
    </row>
    <row r="50" spans="1:42" x14ac:dyDescent="0.25">
      <c r="G50" s="23" t="s">
        <v>20</v>
      </c>
      <c r="H50">
        <v>3324.375</v>
      </c>
    </row>
    <row r="51" spans="1:42" x14ac:dyDescent="0.25">
      <c r="G51" s="24" t="s">
        <v>19</v>
      </c>
      <c r="H51">
        <v>1108.125</v>
      </c>
    </row>
    <row r="52" spans="1:42" x14ac:dyDescent="0.25">
      <c r="G52" s="24" t="s">
        <v>18</v>
      </c>
      <c r="H52">
        <v>2216.25</v>
      </c>
    </row>
    <row r="53" spans="1:42" x14ac:dyDescent="0.25">
      <c r="G53" s="23" t="s">
        <v>24</v>
      </c>
      <c r="H53">
        <v>15536.25</v>
      </c>
    </row>
    <row r="54" spans="1:42" ht="13.2" customHeight="1" x14ac:dyDescent="0.25">
      <c r="G54" s="24" t="s">
        <v>19</v>
      </c>
      <c r="H54">
        <v>6408.75</v>
      </c>
    </row>
    <row r="55" spans="1:42" ht="13.2" customHeight="1" x14ac:dyDescent="0.25">
      <c r="G55" s="24" t="s">
        <v>18</v>
      </c>
      <c r="H55">
        <v>9127.5</v>
      </c>
    </row>
    <row r="56" spans="1:42" ht="13.2" customHeight="1" x14ac:dyDescent="0.25">
      <c r="G56" s="23" t="s">
        <v>41</v>
      </c>
      <c r="H56">
        <v>656925</v>
      </c>
    </row>
    <row r="57" spans="1:42" ht="13.2" customHeight="1" x14ac:dyDescent="0.25"/>
    <row r="58" spans="1:42" ht="13.2" customHeight="1" x14ac:dyDescent="0.25"/>
    <row r="59" spans="1:42" ht="13.2" customHeight="1" x14ac:dyDescent="0.25"/>
    <row r="60" spans="1:42" ht="13.2" customHeight="1" x14ac:dyDescent="0.25"/>
    <row r="61" spans="1:42" ht="13.2" customHeight="1" x14ac:dyDescent="0.25"/>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51638-E195-400A-BBA2-2774ED7DC9F6}">
  <sheetPr>
    <tabColor theme="6" tint="0.39997558519241921"/>
  </sheetPr>
  <dimension ref="A1"/>
  <sheetViews>
    <sheetView topLeftCell="A7" zoomScale="47" workbookViewId="0">
      <selection sqref="A1:XFD1048576"/>
    </sheetView>
  </sheetViews>
  <sheetFormatPr defaultRowHeight="13.2" x14ac:dyDescent="0.25"/>
  <cols>
    <col min="1" max="16384" width="8.88671875" style="39"/>
  </cols>
  <sheetData/>
  <mergeCells count="1">
    <mergeCell ref="A1:XFD104857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9DB4E-5CCC-4501-8499-339A061C1CE0}">
  <sheetPr>
    <tabColor theme="9" tint="-0.249977111117893"/>
  </sheetPr>
  <dimension ref="B1:V15"/>
  <sheetViews>
    <sheetView workbookViewId="0">
      <selection activeCell="B6" sqref="B6:V6"/>
    </sheetView>
  </sheetViews>
  <sheetFormatPr defaultRowHeight="13.2" x14ac:dyDescent="0.25"/>
  <sheetData>
    <row r="1" spans="2:22" x14ac:dyDescent="0.25">
      <c r="C1" s="37" t="s">
        <v>72</v>
      </c>
      <c r="D1" s="43"/>
      <c r="E1" s="43"/>
      <c r="F1" s="43"/>
      <c r="G1" s="43"/>
      <c r="H1" s="43"/>
      <c r="I1" s="43"/>
      <c r="J1" s="43"/>
      <c r="K1" s="43"/>
      <c r="L1" s="43"/>
      <c r="M1" s="43"/>
      <c r="N1" s="43"/>
      <c r="O1" s="43"/>
      <c r="P1" s="43"/>
      <c r="Q1" s="43"/>
      <c r="R1" s="43"/>
      <c r="S1" s="43"/>
      <c r="T1" s="43"/>
      <c r="U1" s="43"/>
    </row>
    <row r="2" spans="2:22" x14ac:dyDescent="0.25">
      <c r="C2" s="43"/>
      <c r="D2" s="43"/>
      <c r="E2" s="43"/>
      <c r="F2" s="43"/>
      <c r="G2" s="43"/>
      <c r="H2" s="43"/>
      <c r="I2" s="43"/>
      <c r="J2" s="43"/>
      <c r="K2" s="43"/>
      <c r="L2" s="43"/>
      <c r="M2" s="43"/>
      <c r="N2" s="43"/>
      <c r="O2" s="43"/>
      <c r="P2" s="43"/>
      <c r="Q2" s="43"/>
      <c r="R2" s="43"/>
      <c r="S2" s="43"/>
      <c r="T2" s="43"/>
      <c r="U2" s="43"/>
    </row>
    <row r="4" spans="2:22" ht="13.8" x14ac:dyDescent="0.25">
      <c r="B4" s="44" t="s">
        <v>73</v>
      </c>
      <c r="C4" s="44"/>
      <c r="D4" s="44"/>
      <c r="E4" s="44"/>
      <c r="F4" s="44"/>
      <c r="G4" s="44"/>
      <c r="H4" s="44"/>
      <c r="I4" s="44"/>
      <c r="J4" s="44"/>
      <c r="K4" s="44"/>
      <c r="L4" s="44"/>
      <c r="M4" s="44"/>
      <c r="N4" s="44"/>
      <c r="O4" s="44"/>
      <c r="P4" s="44"/>
      <c r="Q4" s="44"/>
      <c r="R4" s="44"/>
      <c r="S4" s="44"/>
      <c r="T4" s="44"/>
      <c r="U4" s="44"/>
      <c r="V4" s="44"/>
    </row>
    <row r="6" spans="2:22" ht="13.8" x14ac:dyDescent="0.25">
      <c r="B6" s="45" t="s">
        <v>48</v>
      </c>
      <c r="C6" s="45"/>
      <c r="D6" s="45"/>
      <c r="E6" s="45"/>
      <c r="F6" s="45"/>
      <c r="G6" s="45"/>
      <c r="H6" s="45"/>
      <c r="I6" s="45"/>
      <c r="J6" s="45"/>
      <c r="K6" s="45"/>
      <c r="L6" s="45"/>
      <c r="M6" s="45"/>
      <c r="N6" s="45"/>
      <c r="O6" s="45"/>
      <c r="P6" s="45"/>
      <c r="Q6" s="45"/>
      <c r="R6" s="45"/>
      <c r="S6" s="45"/>
      <c r="T6" s="45"/>
      <c r="U6" s="45"/>
      <c r="V6" s="45"/>
    </row>
    <row r="7" spans="2:22" ht="13.8" x14ac:dyDescent="0.25">
      <c r="B7" s="41"/>
      <c r="C7" s="41"/>
      <c r="D7" s="41"/>
      <c r="E7" s="41"/>
      <c r="F7" s="41"/>
      <c r="G7" s="41"/>
      <c r="H7" s="41"/>
      <c r="I7" s="41"/>
      <c r="J7" s="41"/>
      <c r="K7" s="41"/>
      <c r="L7" s="41"/>
      <c r="M7" s="41"/>
      <c r="N7" s="41"/>
      <c r="O7" s="41"/>
      <c r="P7" s="41"/>
      <c r="Q7" s="41"/>
      <c r="R7" s="41"/>
      <c r="S7" s="41"/>
      <c r="T7" s="41"/>
      <c r="U7" s="41"/>
      <c r="V7" s="41"/>
    </row>
    <row r="8" spans="2:22" x14ac:dyDescent="0.25">
      <c r="B8" s="40" t="s">
        <v>74</v>
      </c>
      <c r="C8" s="40"/>
      <c r="D8" s="40"/>
      <c r="E8" s="40"/>
      <c r="F8" s="40"/>
      <c r="G8" s="40"/>
      <c r="H8" s="40"/>
      <c r="I8" s="40"/>
      <c r="J8" s="40"/>
      <c r="K8" s="40"/>
      <c r="L8" s="40"/>
      <c r="M8" s="40"/>
      <c r="N8" s="40"/>
      <c r="O8" s="40"/>
      <c r="P8" s="40"/>
      <c r="Q8" s="40"/>
      <c r="R8" s="40"/>
      <c r="S8" s="40"/>
      <c r="T8" s="40"/>
      <c r="U8" s="40"/>
      <c r="V8" s="40"/>
    </row>
    <row r="9" spans="2:22" x14ac:dyDescent="0.25">
      <c r="B9" s="40"/>
      <c r="C9" s="40"/>
      <c r="D9" s="40"/>
      <c r="E9" s="40"/>
      <c r="F9" s="40"/>
      <c r="G9" s="40"/>
      <c r="H9" s="40"/>
      <c r="I9" s="40"/>
      <c r="J9" s="40"/>
      <c r="K9" s="40"/>
      <c r="L9" s="40"/>
      <c r="M9" s="40"/>
      <c r="N9" s="40"/>
      <c r="O9" s="40"/>
      <c r="P9" s="40"/>
      <c r="Q9" s="40"/>
      <c r="R9" s="40"/>
      <c r="S9" s="40"/>
      <c r="T9" s="40"/>
      <c r="U9" s="40"/>
      <c r="V9" s="40"/>
    </row>
    <row r="10" spans="2:22" x14ac:dyDescent="0.25">
      <c r="B10" s="42"/>
      <c r="C10" s="42"/>
      <c r="D10" s="42"/>
      <c r="E10" s="42"/>
      <c r="F10" s="42"/>
      <c r="G10" s="42"/>
      <c r="H10" s="42"/>
      <c r="I10" s="42"/>
      <c r="J10" s="42"/>
      <c r="K10" s="42"/>
      <c r="L10" s="42"/>
      <c r="M10" s="42"/>
      <c r="N10" s="42"/>
      <c r="O10" s="42"/>
      <c r="P10" s="42"/>
      <c r="Q10" s="42"/>
      <c r="R10" s="42"/>
      <c r="S10" s="42"/>
      <c r="T10" s="42"/>
      <c r="U10" s="42"/>
      <c r="V10" s="42"/>
    </row>
    <row r="11" spans="2:22" x14ac:dyDescent="0.25">
      <c r="B11" s="40" t="s">
        <v>75</v>
      </c>
      <c r="C11" s="40"/>
      <c r="D11" s="40"/>
      <c r="E11" s="40"/>
      <c r="F11" s="40"/>
      <c r="G11" s="40"/>
      <c r="H11" s="40"/>
      <c r="I11" s="40"/>
      <c r="J11" s="40"/>
      <c r="K11" s="40"/>
      <c r="L11" s="40"/>
      <c r="M11" s="40"/>
      <c r="N11" s="40"/>
      <c r="O11" s="40"/>
      <c r="P11" s="40"/>
      <c r="Q11" s="40"/>
      <c r="R11" s="40"/>
      <c r="S11" s="40"/>
      <c r="T11" s="40"/>
      <c r="U11" s="40"/>
      <c r="V11" s="40"/>
    </row>
    <row r="12" spans="2:22" x14ac:dyDescent="0.25">
      <c r="B12" s="40"/>
      <c r="C12" s="40"/>
      <c r="D12" s="40"/>
      <c r="E12" s="40"/>
      <c r="F12" s="40"/>
      <c r="G12" s="40"/>
      <c r="H12" s="40"/>
      <c r="I12" s="40"/>
      <c r="J12" s="40"/>
      <c r="K12" s="40"/>
      <c r="L12" s="40"/>
      <c r="M12" s="40"/>
      <c r="N12" s="40"/>
      <c r="O12" s="40"/>
      <c r="P12" s="40"/>
      <c r="Q12" s="40"/>
      <c r="R12" s="40"/>
      <c r="S12" s="40"/>
      <c r="T12" s="40"/>
      <c r="U12" s="40"/>
      <c r="V12" s="40"/>
    </row>
    <row r="13" spans="2:22" x14ac:dyDescent="0.25">
      <c r="B13" s="42"/>
      <c r="C13" s="42"/>
      <c r="D13" s="42"/>
      <c r="E13" s="42"/>
      <c r="F13" s="42"/>
      <c r="G13" s="42"/>
      <c r="H13" s="42"/>
      <c r="I13" s="42"/>
      <c r="J13" s="42"/>
      <c r="K13" s="42"/>
      <c r="L13" s="42"/>
      <c r="M13" s="42"/>
      <c r="N13" s="42"/>
      <c r="O13" s="42"/>
      <c r="P13" s="42"/>
      <c r="Q13" s="42"/>
      <c r="R13" s="42"/>
      <c r="S13" s="42"/>
      <c r="T13" s="42"/>
      <c r="U13" s="42"/>
      <c r="V13" s="42"/>
    </row>
    <row r="14" spans="2:22" x14ac:dyDescent="0.25">
      <c r="B14" s="40" t="s">
        <v>76</v>
      </c>
      <c r="C14" s="40"/>
      <c r="D14" s="40"/>
      <c r="E14" s="40"/>
      <c r="F14" s="40"/>
      <c r="G14" s="40"/>
      <c r="H14" s="40"/>
      <c r="I14" s="40"/>
      <c r="J14" s="40"/>
      <c r="K14" s="40"/>
      <c r="L14" s="40"/>
      <c r="M14" s="40"/>
      <c r="N14" s="40"/>
      <c r="O14" s="40"/>
      <c r="P14" s="40"/>
      <c r="Q14" s="40"/>
      <c r="R14" s="40"/>
      <c r="S14" s="40"/>
      <c r="T14" s="40"/>
      <c r="U14" s="40"/>
      <c r="V14" s="40"/>
    </row>
    <row r="15" spans="2:22" x14ac:dyDescent="0.25">
      <c r="B15" s="40"/>
      <c r="C15" s="40"/>
      <c r="D15" s="40"/>
      <c r="E15" s="40"/>
      <c r="F15" s="40"/>
      <c r="G15" s="40"/>
      <c r="H15" s="40"/>
      <c r="I15" s="40"/>
      <c r="J15" s="40"/>
      <c r="K15" s="40"/>
      <c r="L15" s="40"/>
      <c r="M15" s="40"/>
      <c r="N15" s="40"/>
      <c r="O15" s="40"/>
      <c r="P15" s="40"/>
      <c r="Q15" s="40"/>
      <c r="R15" s="40"/>
      <c r="S15" s="40"/>
      <c r="T15" s="40"/>
      <c r="U15" s="40"/>
      <c r="V15" s="40"/>
    </row>
  </sheetData>
  <mergeCells count="9">
    <mergeCell ref="C1:U2"/>
    <mergeCell ref="B4:V4"/>
    <mergeCell ref="B6:V6"/>
    <mergeCell ref="B8:V9"/>
    <mergeCell ref="B11:V12"/>
    <mergeCell ref="B14:V15"/>
    <mergeCell ref="B7:V7"/>
    <mergeCell ref="B10:V10"/>
    <mergeCell ref="B13:V1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E7821-2FFD-4D2F-9B79-6FBA0C0D2F98}">
  <sheetPr>
    <tabColor theme="5" tint="-0.249977111117893"/>
  </sheetPr>
  <dimension ref="A1:Z38"/>
  <sheetViews>
    <sheetView tabSelected="1" zoomScale="72" workbookViewId="0">
      <selection activeCell="C37" sqref="C37:W37"/>
    </sheetView>
  </sheetViews>
  <sheetFormatPr defaultColWidth="0" defaultRowHeight="13.2" zeroHeight="1" x14ac:dyDescent="0.25"/>
  <cols>
    <col min="1" max="26" width="8.88671875" customWidth="1"/>
    <col min="27" max="16384" width="8.88671875" hidden="1"/>
  </cols>
  <sheetData>
    <row r="1" spans="1:23" x14ac:dyDescent="0.25">
      <c r="C1" s="37" t="s">
        <v>45</v>
      </c>
      <c r="D1" s="37"/>
      <c r="E1" s="37"/>
      <c r="F1" s="37"/>
      <c r="G1" s="37"/>
      <c r="H1" s="37"/>
      <c r="I1" s="37"/>
      <c r="J1" s="37"/>
      <c r="K1" s="37"/>
      <c r="L1" s="37"/>
      <c r="M1" s="37"/>
      <c r="N1" s="37"/>
      <c r="O1" s="37"/>
      <c r="P1" s="37"/>
      <c r="Q1" s="37"/>
      <c r="R1" s="37"/>
      <c r="S1" s="37"/>
      <c r="T1" s="37"/>
      <c r="U1" s="37"/>
    </row>
    <row r="2" spans="1:23" x14ac:dyDescent="0.25">
      <c r="C2" s="37"/>
      <c r="D2" s="37"/>
      <c r="E2" s="37"/>
      <c r="F2" s="37"/>
      <c r="G2" s="37"/>
      <c r="H2" s="37"/>
      <c r="I2" s="37"/>
      <c r="J2" s="37"/>
      <c r="K2" s="37"/>
      <c r="L2" s="37"/>
      <c r="M2" s="37"/>
      <c r="N2" s="37"/>
      <c r="O2" s="37"/>
      <c r="P2" s="37"/>
      <c r="Q2" s="37"/>
      <c r="R2" s="37"/>
      <c r="S2" s="37"/>
      <c r="T2" s="37"/>
      <c r="U2" s="37"/>
    </row>
    <row r="3" spans="1:23" x14ac:dyDescent="0.25"/>
    <row r="4" spans="1:23" x14ac:dyDescent="0.25">
      <c r="A4" s="38" t="s">
        <v>71</v>
      </c>
      <c r="B4" s="38"/>
      <c r="C4" s="38"/>
      <c r="D4" s="38"/>
      <c r="E4" s="38"/>
      <c r="F4" s="38"/>
      <c r="G4" s="38"/>
      <c r="H4" s="38"/>
      <c r="I4" s="38"/>
      <c r="J4" s="38"/>
      <c r="K4" s="38"/>
      <c r="L4" s="38"/>
      <c r="M4" s="38"/>
      <c r="N4" s="38"/>
      <c r="O4" s="38"/>
      <c r="P4" s="38"/>
      <c r="Q4" s="38"/>
      <c r="R4" s="38"/>
      <c r="S4" s="38"/>
      <c r="T4" s="38"/>
      <c r="U4" s="38"/>
      <c r="V4" s="38"/>
      <c r="W4" s="38"/>
    </row>
    <row r="5" spans="1:23" x14ac:dyDescent="0.25">
      <c r="A5" s="38"/>
      <c r="B5" s="38"/>
      <c r="C5" s="38"/>
      <c r="D5" s="38"/>
      <c r="E5" s="38"/>
      <c r="F5" s="38"/>
      <c r="G5" s="38"/>
      <c r="H5" s="38"/>
      <c r="I5" s="38"/>
      <c r="J5" s="38"/>
      <c r="K5" s="38"/>
      <c r="L5" s="38"/>
      <c r="M5" s="38"/>
      <c r="N5" s="38"/>
      <c r="O5" s="38"/>
      <c r="P5" s="38"/>
      <c r="Q5" s="38"/>
      <c r="R5" s="38"/>
      <c r="S5" s="38"/>
      <c r="T5" s="38"/>
      <c r="U5" s="38"/>
      <c r="V5" s="38"/>
      <c r="W5" s="38"/>
    </row>
    <row r="6" spans="1:23" x14ac:dyDescent="0.25"/>
    <row r="7" spans="1:23" x14ac:dyDescent="0.25">
      <c r="A7" s="35" t="s">
        <v>51</v>
      </c>
      <c r="B7" s="35"/>
      <c r="C7" s="35"/>
      <c r="D7" s="35"/>
      <c r="E7" s="35"/>
      <c r="F7" s="35"/>
    </row>
    <row r="8" spans="1:23" x14ac:dyDescent="0.25">
      <c r="A8" s="35"/>
      <c r="B8" s="35"/>
      <c r="C8" s="35"/>
      <c r="D8" s="35"/>
      <c r="E8" s="35"/>
      <c r="F8" s="35"/>
    </row>
    <row r="9" spans="1:23" x14ac:dyDescent="0.25">
      <c r="C9" s="34" t="s">
        <v>52</v>
      </c>
      <c r="D9" s="34"/>
      <c r="E9" s="34"/>
      <c r="F9" s="34"/>
      <c r="G9" s="34"/>
      <c r="H9" s="34"/>
      <c r="I9" s="34"/>
      <c r="J9" s="34"/>
      <c r="K9" s="34"/>
      <c r="L9" s="34"/>
      <c r="M9" s="34"/>
      <c r="N9" s="34"/>
      <c r="O9" s="34"/>
      <c r="P9" s="34"/>
      <c r="Q9" s="34"/>
      <c r="R9" s="34"/>
      <c r="S9" s="34"/>
      <c r="T9" s="34"/>
      <c r="U9" s="34"/>
      <c r="V9" s="34"/>
      <c r="W9" s="34"/>
    </row>
    <row r="10" spans="1:23" x14ac:dyDescent="0.25">
      <c r="C10" s="34" t="s">
        <v>53</v>
      </c>
      <c r="D10" s="34"/>
      <c r="E10" s="34"/>
      <c r="F10" s="34"/>
      <c r="G10" s="34"/>
      <c r="H10" s="34"/>
      <c r="I10" s="34"/>
      <c r="J10" s="34"/>
      <c r="K10" s="34"/>
      <c r="L10" s="34"/>
      <c r="M10" s="34"/>
      <c r="N10" s="34"/>
      <c r="O10" s="34"/>
      <c r="P10" s="34"/>
      <c r="Q10" s="34"/>
      <c r="R10" s="34"/>
      <c r="S10" s="34"/>
      <c r="T10" s="34"/>
      <c r="U10" s="34"/>
      <c r="V10" s="34"/>
      <c r="W10" s="34"/>
    </row>
    <row r="11" spans="1:23" x14ac:dyDescent="0.25">
      <c r="C11" s="34" t="s">
        <v>54</v>
      </c>
      <c r="D11" s="34"/>
      <c r="E11" s="34"/>
      <c r="F11" s="34"/>
      <c r="G11" s="34"/>
      <c r="H11" s="34"/>
      <c r="I11" s="34"/>
      <c r="J11" s="34"/>
      <c r="K11" s="34"/>
      <c r="L11" s="34"/>
      <c r="M11" s="34"/>
      <c r="N11" s="34"/>
      <c r="O11" s="34"/>
      <c r="P11" s="34"/>
      <c r="Q11" s="34"/>
      <c r="R11" s="34"/>
      <c r="S11" s="34"/>
      <c r="T11" s="34"/>
      <c r="U11" s="34"/>
      <c r="V11" s="34"/>
      <c r="W11" s="34"/>
    </row>
    <row r="12" spans="1:23" x14ac:dyDescent="0.25"/>
    <row r="13" spans="1:23" x14ac:dyDescent="0.25">
      <c r="A13" s="35" t="s">
        <v>55</v>
      </c>
      <c r="B13" s="35"/>
      <c r="C13" s="35"/>
      <c r="D13" s="35"/>
      <c r="E13" s="35"/>
      <c r="F13" s="35"/>
    </row>
    <row r="14" spans="1:23" x14ac:dyDescent="0.25">
      <c r="A14" s="35"/>
      <c r="B14" s="35"/>
      <c r="C14" s="35"/>
      <c r="D14" s="35"/>
      <c r="E14" s="35"/>
      <c r="F14" s="35"/>
    </row>
    <row r="15" spans="1:23" x14ac:dyDescent="0.25">
      <c r="C15" s="36" t="s">
        <v>56</v>
      </c>
      <c r="D15" s="36"/>
      <c r="E15" s="36"/>
      <c r="F15" s="36"/>
      <c r="G15" s="36"/>
      <c r="H15" s="33"/>
      <c r="I15" s="33"/>
      <c r="J15" s="33"/>
      <c r="K15" s="33"/>
      <c r="L15" s="33"/>
      <c r="M15" s="33"/>
      <c r="N15" s="33"/>
      <c r="O15" s="33"/>
      <c r="P15" s="33"/>
      <c r="Q15" s="33"/>
      <c r="R15" s="33"/>
      <c r="S15" s="33"/>
      <c r="T15" s="33"/>
      <c r="U15" s="33"/>
      <c r="V15" s="33"/>
      <c r="W15" s="33"/>
    </row>
    <row r="16" spans="1:23" x14ac:dyDescent="0.25">
      <c r="C16" s="34" t="s">
        <v>46</v>
      </c>
      <c r="D16" s="34"/>
      <c r="E16" s="34"/>
      <c r="F16" s="34"/>
      <c r="G16" s="34"/>
      <c r="H16" s="34"/>
      <c r="I16" s="34"/>
      <c r="J16" s="34"/>
      <c r="K16" s="34"/>
      <c r="L16" s="34"/>
      <c r="M16" s="34"/>
      <c r="N16" s="34"/>
      <c r="O16" s="34"/>
      <c r="P16" s="34"/>
      <c r="Q16" s="34"/>
      <c r="R16" s="34"/>
      <c r="S16" s="34"/>
      <c r="T16" s="34"/>
      <c r="U16" s="34"/>
      <c r="V16" s="34"/>
      <c r="W16" s="34"/>
    </row>
    <row r="17" spans="1:23" x14ac:dyDescent="0.25">
      <c r="C17" s="34" t="s">
        <v>58</v>
      </c>
      <c r="D17" s="34"/>
      <c r="E17" s="34"/>
      <c r="F17" s="34"/>
      <c r="G17" s="34"/>
      <c r="H17" s="34"/>
      <c r="I17" s="34"/>
      <c r="J17" s="34"/>
      <c r="K17" s="34"/>
      <c r="L17" s="34"/>
      <c r="M17" s="34"/>
      <c r="N17" s="34"/>
      <c r="O17" s="34"/>
      <c r="P17" s="34"/>
      <c r="Q17" s="34"/>
      <c r="R17" s="34"/>
      <c r="S17" s="34"/>
      <c r="T17" s="34"/>
      <c r="U17" s="34"/>
      <c r="V17" s="34"/>
      <c r="W17" s="34"/>
    </row>
    <row r="18" spans="1:23" x14ac:dyDescent="0.25">
      <c r="C18" s="34" t="s">
        <v>57</v>
      </c>
      <c r="D18" s="34"/>
      <c r="E18" s="34"/>
      <c r="F18" s="34"/>
      <c r="G18" s="34"/>
      <c r="H18" s="34"/>
      <c r="I18" s="34"/>
      <c r="J18" s="34"/>
      <c r="K18" s="34"/>
      <c r="L18" s="34"/>
      <c r="M18" s="34"/>
      <c r="N18" s="34"/>
      <c r="O18" s="34"/>
      <c r="P18" s="34"/>
      <c r="Q18" s="34"/>
      <c r="R18" s="34"/>
      <c r="S18" s="34"/>
      <c r="T18" s="34"/>
      <c r="U18" s="34"/>
      <c r="V18" s="34"/>
      <c r="W18" s="34"/>
    </row>
    <row r="19" spans="1:23" x14ac:dyDescent="0.25">
      <c r="C19" s="34" t="s">
        <v>59</v>
      </c>
      <c r="D19" s="34"/>
      <c r="E19" s="34"/>
      <c r="F19" s="34"/>
      <c r="G19" s="34"/>
      <c r="H19" s="34"/>
      <c r="I19" s="34"/>
      <c r="J19" s="34"/>
      <c r="K19" s="34"/>
      <c r="L19" s="34"/>
      <c r="M19" s="34"/>
      <c r="N19" s="34"/>
      <c r="O19" s="34"/>
      <c r="P19" s="34"/>
      <c r="Q19" s="34"/>
      <c r="R19" s="34"/>
      <c r="S19" s="34"/>
      <c r="T19" s="34"/>
      <c r="U19" s="34"/>
      <c r="V19" s="34"/>
      <c r="W19" s="34"/>
    </row>
    <row r="20" spans="1:23" x14ac:dyDescent="0.25"/>
    <row r="21" spans="1:23" x14ac:dyDescent="0.25">
      <c r="C21" s="36" t="s">
        <v>60</v>
      </c>
      <c r="D21" s="36"/>
      <c r="E21" s="36"/>
      <c r="F21" s="36"/>
      <c r="G21" s="36"/>
    </row>
    <row r="22" spans="1:23" x14ac:dyDescent="0.25">
      <c r="C22" s="34" t="s">
        <v>47</v>
      </c>
      <c r="D22" s="34"/>
      <c r="E22" s="34"/>
      <c r="F22" s="34"/>
      <c r="G22" s="34"/>
      <c r="H22" s="34"/>
      <c r="I22" s="34"/>
      <c r="J22" s="34"/>
      <c r="K22" s="34"/>
      <c r="L22" s="34"/>
      <c r="M22" s="34"/>
      <c r="N22" s="34"/>
      <c r="O22" s="34"/>
      <c r="P22" s="34"/>
      <c r="Q22" s="34"/>
      <c r="R22" s="34"/>
      <c r="S22" s="34"/>
      <c r="T22" s="34"/>
      <c r="U22" s="34"/>
      <c r="V22" s="34"/>
      <c r="W22" s="34"/>
    </row>
    <row r="23" spans="1:23" x14ac:dyDescent="0.25">
      <c r="C23" s="34" t="s">
        <v>61</v>
      </c>
      <c r="D23" s="34"/>
      <c r="E23" s="34"/>
      <c r="F23" s="34"/>
      <c r="G23" s="34"/>
      <c r="H23" s="34"/>
      <c r="I23" s="34"/>
      <c r="J23" s="34"/>
      <c r="K23" s="34"/>
      <c r="L23" s="34"/>
      <c r="M23" s="34"/>
      <c r="N23" s="34"/>
      <c r="O23" s="34"/>
      <c r="P23" s="34"/>
      <c r="Q23" s="34"/>
      <c r="R23" s="34"/>
      <c r="S23" s="34"/>
      <c r="T23" s="34"/>
      <c r="U23" s="34"/>
      <c r="V23" s="34"/>
      <c r="W23" s="34"/>
    </row>
    <row r="24" spans="1:23" x14ac:dyDescent="0.25">
      <c r="C24" s="34" t="s">
        <v>62</v>
      </c>
      <c r="D24" s="34"/>
      <c r="E24" s="34"/>
      <c r="F24" s="34"/>
      <c r="G24" s="34"/>
      <c r="H24" s="34"/>
      <c r="I24" s="34"/>
      <c r="J24" s="34"/>
      <c r="K24" s="34"/>
      <c r="L24" s="34"/>
      <c r="M24" s="34"/>
      <c r="N24" s="34"/>
      <c r="O24" s="34"/>
      <c r="P24" s="34"/>
      <c r="Q24" s="34"/>
      <c r="R24" s="34"/>
      <c r="S24" s="34"/>
      <c r="T24" s="34"/>
      <c r="U24" s="34"/>
      <c r="V24" s="34"/>
      <c r="W24" s="34"/>
    </row>
    <row r="25" spans="1:23" x14ac:dyDescent="0.25">
      <c r="C25" s="34" t="s">
        <v>63</v>
      </c>
      <c r="D25" s="34"/>
      <c r="E25" s="34"/>
      <c r="F25" s="34"/>
      <c r="G25" s="34"/>
      <c r="H25" s="34"/>
      <c r="I25" s="34"/>
      <c r="J25" s="34"/>
      <c r="K25" s="34"/>
      <c r="L25" s="34"/>
      <c r="M25" s="34"/>
      <c r="N25" s="34"/>
      <c r="O25" s="34"/>
      <c r="P25" s="34"/>
      <c r="Q25" s="34"/>
      <c r="R25" s="34"/>
      <c r="S25" s="34"/>
      <c r="T25" s="34"/>
      <c r="U25" s="34"/>
      <c r="V25" s="34"/>
      <c r="W25" s="34"/>
    </row>
    <row r="26" spans="1:23" x14ac:dyDescent="0.25"/>
    <row r="27" spans="1:23" x14ac:dyDescent="0.25">
      <c r="A27" s="35" t="s">
        <v>70</v>
      </c>
      <c r="B27" s="35"/>
      <c r="C27" s="35"/>
      <c r="D27" s="35"/>
      <c r="E27" s="35"/>
      <c r="F27" s="35"/>
    </row>
    <row r="28" spans="1:23" x14ac:dyDescent="0.25">
      <c r="A28" s="35"/>
      <c r="B28" s="35"/>
      <c r="C28" s="35"/>
      <c r="D28" s="35"/>
      <c r="E28" s="35"/>
      <c r="F28" s="35"/>
    </row>
    <row r="29" spans="1:23" x14ac:dyDescent="0.25">
      <c r="C29" s="34" t="s">
        <v>64</v>
      </c>
      <c r="D29" s="34"/>
      <c r="E29" s="34"/>
      <c r="F29" s="34"/>
      <c r="G29" s="34"/>
      <c r="H29" s="34"/>
      <c r="I29" s="34"/>
      <c r="J29" s="34"/>
      <c r="K29" s="34"/>
      <c r="L29" s="34"/>
      <c r="M29" s="34"/>
      <c r="N29" s="34"/>
      <c r="O29" s="34"/>
      <c r="P29" s="34"/>
      <c r="Q29" s="34"/>
      <c r="R29" s="34"/>
      <c r="S29" s="34"/>
      <c r="T29" s="34"/>
      <c r="U29" s="34"/>
      <c r="V29" s="34"/>
      <c r="W29" s="34"/>
    </row>
    <row r="30" spans="1:23" x14ac:dyDescent="0.25">
      <c r="C30" s="34" t="s">
        <v>65</v>
      </c>
      <c r="D30" s="34"/>
      <c r="E30" s="34"/>
      <c r="F30" s="34"/>
      <c r="G30" s="34"/>
      <c r="H30" s="34"/>
      <c r="I30" s="34"/>
      <c r="J30" s="34"/>
      <c r="K30" s="34"/>
      <c r="L30" s="34"/>
      <c r="M30" s="34"/>
      <c r="N30" s="34"/>
      <c r="O30" s="34"/>
      <c r="P30" s="34"/>
      <c r="Q30" s="34"/>
      <c r="R30" s="34"/>
      <c r="S30" s="34"/>
      <c r="T30" s="34"/>
      <c r="U30" s="34"/>
      <c r="V30" s="34"/>
      <c r="W30" s="34"/>
    </row>
    <row r="31" spans="1:23" x14ac:dyDescent="0.25">
      <c r="C31" s="31"/>
      <c r="D31" s="31"/>
      <c r="E31" s="31"/>
      <c r="F31" s="31"/>
      <c r="G31" s="31"/>
      <c r="H31" s="31"/>
      <c r="I31" s="31"/>
      <c r="J31" s="31"/>
      <c r="K31" s="31"/>
      <c r="L31" s="31"/>
      <c r="M31" s="31"/>
      <c r="N31" s="31"/>
      <c r="O31" s="31"/>
      <c r="P31" s="31"/>
      <c r="Q31" s="31"/>
      <c r="R31" s="31"/>
      <c r="S31" s="31"/>
      <c r="T31" s="31"/>
      <c r="U31" s="31"/>
      <c r="V31" s="31"/>
      <c r="W31" s="31"/>
    </row>
    <row r="32" spans="1:23" x14ac:dyDescent="0.25">
      <c r="A32" s="35" t="s">
        <v>66</v>
      </c>
      <c r="B32" s="35"/>
      <c r="C32" s="35"/>
      <c r="D32" s="35"/>
      <c r="E32" s="35"/>
      <c r="F32" s="35"/>
    </row>
    <row r="33" spans="1:23" x14ac:dyDescent="0.25">
      <c r="A33" s="35"/>
      <c r="B33" s="35"/>
      <c r="C33" s="35"/>
      <c r="D33" s="35"/>
      <c r="E33" s="35"/>
      <c r="F33" s="35"/>
    </row>
    <row r="34" spans="1:23" x14ac:dyDescent="0.25">
      <c r="C34" s="34" t="s">
        <v>49</v>
      </c>
      <c r="D34" s="34"/>
      <c r="E34" s="34"/>
      <c r="F34" s="34"/>
      <c r="G34" s="34"/>
      <c r="H34" s="34"/>
      <c r="I34" s="34"/>
      <c r="J34" s="34"/>
      <c r="K34" s="34"/>
      <c r="L34" s="34"/>
      <c r="M34" s="34"/>
      <c r="N34" s="34"/>
      <c r="O34" s="34"/>
      <c r="P34" s="34"/>
      <c r="Q34" s="34"/>
      <c r="R34" s="34"/>
      <c r="S34" s="34"/>
      <c r="T34" s="34"/>
      <c r="U34" s="34"/>
      <c r="V34" s="34"/>
      <c r="W34" s="34"/>
    </row>
    <row r="35" spans="1:23" x14ac:dyDescent="0.25">
      <c r="C35" s="34" t="s">
        <v>69</v>
      </c>
      <c r="D35" s="34"/>
      <c r="E35" s="34"/>
      <c r="F35" s="34"/>
      <c r="G35" s="34"/>
      <c r="H35" s="34"/>
      <c r="I35" s="34"/>
      <c r="J35" s="34"/>
      <c r="K35" s="34"/>
      <c r="L35" s="34"/>
      <c r="M35" s="34"/>
      <c r="N35" s="34"/>
      <c r="O35" s="34"/>
      <c r="P35" s="34"/>
      <c r="Q35" s="34"/>
      <c r="R35" s="34"/>
      <c r="S35" s="34"/>
      <c r="T35" s="34"/>
      <c r="U35" s="34"/>
      <c r="V35" s="34"/>
      <c r="W35" s="34"/>
    </row>
    <row r="36" spans="1:23" x14ac:dyDescent="0.25">
      <c r="C36" s="34" t="s">
        <v>67</v>
      </c>
      <c r="D36" s="34"/>
      <c r="E36" s="34"/>
      <c r="F36" s="34"/>
      <c r="G36" s="34"/>
      <c r="H36" s="34"/>
      <c r="I36" s="34"/>
      <c r="J36" s="34"/>
      <c r="K36" s="34"/>
      <c r="L36" s="34"/>
      <c r="M36" s="34"/>
      <c r="N36" s="34"/>
      <c r="O36" s="34"/>
      <c r="P36" s="34"/>
      <c r="Q36" s="34"/>
      <c r="R36" s="34"/>
      <c r="S36" s="34"/>
      <c r="T36" s="34"/>
      <c r="U36" s="34"/>
      <c r="V36" s="34"/>
      <c r="W36" s="34"/>
    </row>
    <row r="37" spans="1:23" x14ac:dyDescent="0.25">
      <c r="C37" s="34" t="s">
        <v>68</v>
      </c>
      <c r="D37" s="34"/>
      <c r="E37" s="34"/>
      <c r="F37" s="34"/>
      <c r="G37" s="34"/>
      <c r="H37" s="34"/>
      <c r="I37" s="34"/>
      <c r="J37" s="34"/>
      <c r="K37" s="34"/>
      <c r="L37" s="34"/>
      <c r="M37" s="34"/>
      <c r="N37" s="34"/>
      <c r="O37" s="34"/>
      <c r="P37" s="34"/>
      <c r="Q37" s="34"/>
      <c r="R37" s="34"/>
      <c r="S37" s="34"/>
      <c r="T37" s="34"/>
      <c r="U37" s="34"/>
      <c r="V37" s="34"/>
      <c r="W37" s="34"/>
    </row>
    <row r="38" spans="1:23" x14ac:dyDescent="0.25"/>
  </sheetData>
  <mergeCells count="25">
    <mergeCell ref="C1:U2"/>
    <mergeCell ref="A4:W5"/>
    <mergeCell ref="C9:W9"/>
    <mergeCell ref="C10:W10"/>
    <mergeCell ref="C37:W37"/>
    <mergeCell ref="C25:W25"/>
    <mergeCell ref="A7:F8"/>
    <mergeCell ref="A13:F14"/>
    <mergeCell ref="A27:F28"/>
    <mergeCell ref="C29:W29"/>
    <mergeCell ref="C19:W19"/>
    <mergeCell ref="C21:G21"/>
    <mergeCell ref="C15:G15"/>
    <mergeCell ref="C22:W22"/>
    <mergeCell ref="C23:W23"/>
    <mergeCell ref="C24:W24"/>
    <mergeCell ref="C11:W11"/>
    <mergeCell ref="C16:W16"/>
    <mergeCell ref="C17:W17"/>
    <mergeCell ref="C18:W18"/>
    <mergeCell ref="C30:W30"/>
    <mergeCell ref="A32:F33"/>
    <mergeCell ref="C34:W34"/>
    <mergeCell ref="C35:W35"/>
    <mergeCell ref="C36:W3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Sales Table</vt:lpstr>
      <vt:lpstr>Sales Pivot</vt:lpstr>
      <vt:lpstr>Dashboard</vt:lpstr>
      <vt:lpstr>Methodology</vt:lpstr>
      <vt:lpstr>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 Kumar</dc:creator>
  <cp:lastModifiedBy>Harsha Kumar</cp:lastModifiedBy>
  <dcterms:created xsi:type="dcterms:W3CDTF">2026-05-23T07:09:14Z</dcterms:created>
  <dcterms:modified xsi:type="dcterms:W3CDTF">2026-05-29T08:48:49Z</dcterms:modified>
</cp:coreProperties>
</file>